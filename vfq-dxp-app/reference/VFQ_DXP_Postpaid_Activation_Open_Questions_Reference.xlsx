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Open Questions" sheetId="2" state="visible" r:id="rId2"/>
    <sheet xmlns:r="http://schemas.openxmlformats.org/officeDocument/2006/relationships" name="Priority Shortlist" sheetId="3" state="visible" r:id="rId3"/>
    <sheet xmlns:r="http://schemas.openxmlformats.org/officeDocument/2006/relationships" name="Artefacts to Request" sheetId="4" state="visible" r:id="rId4"/>
  </sheets>
  <definedNames>
    <definedName name="_xlnm._FilterDatabase" localSheetId="1" hidden="1">'Open Questions'!$A$1:$H$59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FFFFFF"/>
      <sz val="10"/>
    </font>
    <font>
      <sz val="10"/>
    </font>
    <font>
      <b val="1"/>
      <sz val="10"/>
    </font>
    <font>
      <name val="Menlo"/>
      <color rgb="00333333"/>
      <sz val="9"/>
    </font>
    <font>
      <i val="1"/>
      <color rgb="00555555"/>
      <sz val="10"/>
    </font>
    <font>
      <b val="1"/>
      <color rgb="00E60000"/>
      <sz val="18"/>
    </font>
    <font>
      <color rgb="00555555"/>
      <sz val="12"/>
    </font>
    <font>
      <b val="1"/>
    </font>
    <font>
      <b val="1"/>
      <color rgb="00E60000"/>
      <sz val="11"/>
    </font>
    <font>
      <b val="1"/>
      <color rgb="00E60000"/>
      <sz val="12"/>
    </font>
    <font>
      <b val="1"/>
      <sz val="11"/>
    </font>
  </fonts>
  <fills count="6">
    <fill>
      <patternFill/>
    </fill>
    <fill>
      <patternFill patternType="gray125"/>
    </fill>
    <fill>
      <patternFill patternType="solid">
        <fgColor rgb="00E60000"/>
      </patternFill>
    </fill>
    <fill>
      <patternFill patternType="solid">
        <fgColor rgb="00FFF3E0"/>
      </patternFill>
    </fill>
    <fill>
      <patternFill patternType="solid">
        <fgColor rgb="00E3F2FD"/>
      </patternFill>
    </fill>
    <fill>
      <patternFill patternType="solid">
        <fgColor rgb="00F4F4F4"/>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8">
    <xf numFmtId="0" fontId="0" fillId="0" borderId="0" pivotButton="0" quotePrefix="0" xfId="0"/>
    <xf numFmtId="0" fontId="6" fillId="0" borderId="0" pivotButton="0" quotePrefix="0" xfId="0"/>
    <xf numFmtId="0" fontId="7" fillId="0" borderId="0" pivotButton="0" quotePrefix="0" xfId="0"/>
    <xf numFmtId="0" fontId="8" fillId="5" borderId="1" pivotButton="0" quotePrefix="0" xfId="0"/>
    <xf numFmtId="0" fontId="2" fillId="0" borderId="0" applyAlignment="1" pivotButton="0" quotePrefix="0" xfId="0">
      <alignment vertical="top" wrapText="1"/>
    </xf>
    <xf numFmtId="0" fontId="9" fillId="0" borderId="0" pivotButton="0" quotePrefix="0" xfId="0"/>
    <xf numFmtId="0" fontId="5" fillId="0" borderId="0" applyAlignment="1" pivotButton="0" quotePrefix="0" xfId="0">
      <alignment vertical="top" wrapText="1"/>
    </xf>
    <xf numFmtId="0" fontId="10" fillId="0" borderId="0" pivotButton="0" quotePrefix="0" xfId="0"/>
    <xf numFmtId="0" fontId="1" fillId="2" borderId="1" applyAlignment="1" pivotButton="0" quotePrefix="0" xfId="0">
      <alignment vertical="center" wrapText="1"/>
    </xf>
    <xf numFmtId="0" fontId="2" fillId="0" borderId="1" pivotButton="0" quotePrefix="0" xfId="0"/>
    <xf numFmtId="0" fontId="11" fillId="0" borderId="1" applyAlignment="1" pivotButton="0" quotePrefix="0" xfId="0">
      <alignment horizontal="center" vertical="center"/>
    </xf>
    <xf numFmtId="0" fontId="5" fillId="0" borderId="1" applyAlignment="1" pivotButton="0" quotePrefix="0" xfId="0">
      <alignment vertical="top" wrapText="1"/>
    </xf>
    <xf numFmtId="0" fontId="2" fillId="0" borderId="1" applyAlignment="1" pivotButton="0" quotePrefix="0" xfId="0">
      <alignment horizontal="center" vertical="center"/>
    </xf>
    <xf numFmtId="0" fontId="2" fillId="0" borderId="1" applyAlignment="1" pivotButton="0" quotePrefix="0" xfId="0">
      <alignment vertical="top" wrapText="1"/>
    </xf>
    <xf numFmtId="0" fontId="3" fillId="3" borderId="1" applyAlignment="1" pivotButton="0" quotePrefix="0" xfId="0">
      <alignment horizontal="center" vertical="center"/>
    </xf>
    <xf numFmtId="0" fontId="3" fillId="0" borderId="1" applyAlignment="1" pivotButton="0" quotePrefix="0" xfId="0">
      <alignment vertical="top" wrapText="1"/>
    </xf>
    <xf numFmtId="0" fontId="4" fillId="0" borderId="1" applyAlignment="1" pivotButton="0" quotePrefix="0" xfId="0">
      <alignment vertical="top" wrapText="1"/>
    </xf>
    <xf numFmtId="0" fontId="3"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generator</author>
  </authors>
  <commentList>
    <comment ref="B20" authorId="0" shapeId="0">
      <text>
        <t>Counted with SUMPRODUCT/COUNTIF rather than a distinct-count function so the workbook evaluates identically in Excel, LibreOffice and Numbers.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34" customWidth="1" min="1" max="1"/>
    <col width="14" customWidth="1" min="2" max="2"/>
    <col width="76" customWidth="1" min="3" max="3"/>
  </cols>
  <sheetData>
    <row r="1">
      <c r="A1" s="1" t="inlineStr">
        <is>
          <t>New Postpaid Activation</t>
        </is>
      </c>
    </row>
    <row r="2">
      <c r="A2" s="2" t="inlineStr">
        <is>
          <t>Open questions for VFQ business stakeholders</t>
        </is>
      </c>
    </row>
    <row r="4">
      <c r="A4" s="3" t="inlineStr">
        <is>
          <t>Generated by</t>
        </is>
      </c>
      <c r="C4" s="4" t="inlineStr">
        <is>
          <t>reference/scripts/build_postpaid_open_questions.py</t>
        </is>
      </c>
    </row>
    <row r="5">
      <c r="A5" s="3" t="inlineStr">
        <is>
          <t>Source of record</t>
        </is>
      </c>
      <c r="C5" s="4" t="inlineStr">
        <is>
          <t>VFQ_DXP_Postpaid_Activation_Open_Questions_Reference.md</t>
        </is>
      </c>
    </row>
    <row r="6">
      <c r="A6" s="3" t="inlineStr">
        <is>
          <t>Journey scope</t>
        </is>
      </c>
      <c r="C6" s="4" t="inlineStr">
        <is>
          <t>src/modules/mobile-postpaid/screens/NewPostpaidWizard.tsx (11 steps)</t>
        </is>
      </c>
    </row>
    <row r="7">
      <c r="A7" s="3" t="inlineStr">
        <is>
          <t>Checked against</t>
        </is>
      </c>
      <c r="C7" s="4" t="inlineStr">
        <is>
          <t>reference/.knowledge/ (83 indexed source documents)</t>
        </is>
      </c>
    </row>
    <row r="8">
      <c r="A8" s="3" t="inlineStr">
        <is>
          <t>Related artefacts</t>
        </is>
      </c>
      <c r="C8" s="4" t="inlineStr">
        <is>
          <t>reference/blueprint/conflict-report.md (corpus conflicts, broader scope); reference/.knowledge/INDEX.md (source confidence)</t>
        </is>
      </c>
    </row>
    <row r="10">
      <c r="A10" s="5" t="inlineStr">
        <is>
          <t>This workbook is generated. Do not hand-edit.</t>
        </is>
      </c>
    </row>
    <row r="11">
      <c r="A11" s="6" t="inlineStr">
        <is>
          <t>Edit the markdown and re-run the script. Opening this file in Excel and saving it will silently rewrite it, and the next regeneration will discard the change. Every question, status, citation and ranking below is parsed out of the markdown - nothing is typed into the script.</t>
        </is>
      </c>
    </row>
    <row r="12"/>
    <row r="13"/>
    <row r="15">
      <c r="A15" s="7" t="inlineStr">
        <is>
          <t>Counts</t>
        </is>
      </c>
    </row>
    <row r="16" ht="22" customHeight="1">
      <c r="A16" s="8" t="inlineStr">
        <is>
          <t>Measure</t>
        </is>
      </c>
      <c r="B16" s="8" t="inlineStr">
        <is>
          <t>Count</t>
        </is>
      </c>
      <c r="C16" s="8" t="inlineStr">
        <is>
          <t>Meaning</t>
        </is>
      </c>
    </row>
    <row r="17">
      <c r="A17" s="9" t="inlineStr">
        <is>
          <t>Open questions total</t>
        </is>
      </c>
      <c r="B17" s="10">
        <f>COUNTA('Open Questions'!$A$2:$A$59)</f>
        <v/>
      </c>
      <c r="C17" s="11" t="inlineStr">
        <is>
          <t>One row per question on the Open Questions sheet.</t>
        </is>
      </c>
    </row>
    <row r="18">
      <c r="A18" s="9" t="inlineStr">
        <is>
          <t>OWED - already committed</t>
        </is>
      </c>
      <c r="B18" s="10">
        <f>COUNTIF('Open Questions'!$C$2:$C$59,"OWED")</f>
        <v/>
      </c>
      <c r="C18" s="11" t="inlineStr">
        <is>
          <t>Logged as a BRSD v2.0 dependency. Chase the owner rather than re-asking.</t>
        </is>
      </c>
    </row>
    <row r="19">
      <c r="A19" s="9" t="inlineStr">
        <is>
          <t>GAP - not yet logged</t>
        </is>
      </c>
      <c r="B19" s="10">
        <f>COUNTIF('Open Questions'!$C$2:$C$59,"GAP")</f>
        <v/>
      </c>
      <c r="C19" s="11" t="inlineStr">
        <is>
          <t>Found while building. The app carries an assumption today.</t>
        </is>
      </c>
    </row>
    <row r="20">
      <c r="A20" s="9" t="inlineStr">
        <is>
          <t>Areas covered</t>
        </is>
      </c>
      <c r="B20" s="10">
        <f>SUMPRODUCT((COUNTIF('Open Questions'!$B$2:$B$59,'Open Questions'!$B$2:$B$59)&gt;0)/COUNTIF('Open Questions'!$B$2:$B$59,'Open Questions'!$B$2:$B$59))</f>
        <v/>
      </c>
      <c r="C20" s="11" t="inlineStr">
        <is>
          <t>Distinct values in the Area column, counted without a helper range.</t>
        </is>
      </c>
    </row>
    <row r="21">
      <c r="A21" s="9" t="inlineStr">
        <is>
          <t>Questions in a priority area</t>
        </is>
      </c>
      <c r="B21" s="10">
        <f>COUNT('Open Questions'!$H$2:$H$59)</f>
        <v/>
      </c>
      <c r="C21" s="11" t="inlineStr">
        <is>
          <t>Not individually ranked - these sit in one of the 8 areas on the Priority Shortlist sheet.</t>
        </is>
      </c>
    </row>
    <row r="23">
      <c r="A23" s="7" t="inlineStr">
        <is>
          <t>By area</t>
        </is>
      </c>
    </row>
    <row r="24" ht="22" customHeight="1">
      <c r="A24" s="8" t="inlineStr">
        <is>
          <t>Area</t>
        </is>
      </c>
      <c r="B24" s="8" t="inlineStr">
        <is>
          <t>Questions</t>
        </is>
      </c>
      <c r="C24" s="8" t="inlineStr">
        <is>
          <t>Of which OWED</t>
        </is>
      </c>
    </row>
    <row r="25">
      <c r="A25" s="9" t="inlineStr">
        <is>
          <t>Identification and KYC</t>
        </is>
      </c>
      <c r="B25" s="12">
        <f>COUNTIF('Open Questions'!$B$2:$B$59,$A25)</f>
        <v/>
      </c>
      <c r="C25" s="12">
        <f>COUNTIFS('Open Questions'!$B$2:$B$59,$A25,'Open Questions'!$C$2:$C$59,"OWED")</f>
        <v/>
      </c>
    </row>
    <row r="26">
      <c r="A26" s="9" t="inlineStr">
        <is>
          <t>Eligibility and line caps</t>
        </is>
      </c>
      <c r="B26" s="12">
        <f>COUNTIF('Open Questions'!$B$2:$B$59,$A26)</f>
        <v/>
      </c>
      <c r="C26" s="12">
        <f>COUNTIFS('Open Questions'!$B$2:$B$59,$A26,'Open Questions'!$C$2:$C$59,"OWED")</f>
        <v/>
      </c>
    </row>
    <row r="27">
      <c r="A27" s="9" t="inlineStr">
        <is>
          <t>Credit control, HRN and deposits</t>
        </is>
      </c>
      <c r="B27" s="12">
        <f>COUNTIF('Open Questions'!$B$2:$B$59,$A27)</f>
        <v/>
      </c>
      <c r="C27" s="12">
        <f>COUNTIFS('Open Questions'!$B$2:$B$59,$A27,'Open Questions'!$C$2:$C$59,"OWED")</f>
        <v/>
      </c>
    </row>
    <row r="28">
      <c r="A28" s="9" t="inlineStr">
        <is>
          <t>CBM approval workflow</t>
        </is>
      </c>
      <c r="B28" s="12">
        <f>COUNTIF('Open Questions'!$B$2:$B$59,$A28)</f>
        <v/>
      </c>
      <c r="C28" s="12">
        <f>COUNTIFS('Open Questions'!$B$2:$B$59,$A28,'Open Questions'!$C$2:$C$59,"OWED")</f>
        <v/>
      </c>
    </row>
    <row r="29">
      <c r="A29" s="9" t="inlineStr">
        <is>
          <t>Number selection</t>
        </is>
      </c>
      <c r="B29" s="12">
        <f>COUNTIF('Open Questions'!$B$2:$B$59,$A29)</f>
        <v/>
      </c>
      <c r="C29" s="12">
        <f>COUNTIFS('Open Questions'!$B$2:$B$59,$A29,'Open Questions'!$C$2:$C$59,"OWED")</f>
        <v/>
      </c>
    </row>
    <row r="30">
      <c r="A30" s="9" t="inlineStr">
        <is>
          <t>Device on Installment (DOI)</t>
        </is>
      </c>
      <c r="B30" s="12">
        <f>COUNTIF('Open Questions'!$B$2:$B$59,$A30)</f>
        <v/>
      </c>
      <c r="C30" s="12">
        <f>COUNTIFS('Open Questions'!$B$2:$B$59,$A30,'Open Questions'!$C$2:$C$59,"OWED")</f>
        <v/>
      </c>
    </row>
    <row r="31">
      <c r="A31" s="9" t="inlineStr">
        <is>
          <t>SIM, eSIM and provisioning</t>
        </is>
      </c>
      <c r="B31" s="12">
        <f>COUNTIF('Open Questions'!$B$2:$B$59,$A31)</f>
        <v/>
      </c>
      <c r="C31" s="12">
        <f>COUNTIFS('Open Questions'!$B$2:$B$59,$A31,'Open Questions'!$C$2:$C$59,"OWED")</f>
        <v/>
      </c>
    </row>
    <row r="32">
      <c r="A32" s="9" t="inlineStr">
        <is>
          <t>Address capture</t>
        </is>
      </c>
      <c r="B32" s="12">
        <f>COUNTIF('Open Questions'!$B$2:$B$59,$A32)</f>
        <v/>
      </c>
      <c r="C32" s="12">
        <f>COUNTIFS('Open Questions'!$B$2:$B$59,$A32,'Open Questions'!$C$2:$C$59,"OWED")</f>
        <v/>
      </c>
    </row>
    <row r="33">
      <c r="A33" s="9" t="inlineStr">
        <is>
          <t>Forms, payment and notifications</t>
        </is>
      </c>
      <c r="B33" s="12">
        <f>COUNTIF('Open Questions'!$B$2:$B$59,$A33)</f>
        <v/>
      </c>
      <c r="C33" s="12">
        <f>COUNTIFS('Open Questions'!$B$2:$B$59,$A33,'Open Questions'!$C$2:$C$59,"OWED")</f>
        <v/>
      </c>
    </row>
    <row r="34">
      <c r="A34" s="9" t="inlineStr">
        <is>
          <t>Field-level specification</t>
        </is>
      </c>
      <c r="B34" s="12">
        <f>COUNTIF('Open Questions'!$B$2:$B$59,$A34)</f>
        <v/>
      </c>
      <c r="C34" s="12">
        <f>COUNTIFS('Open Questions'!$B$2:$B$59,$A34,'Open Questions'!$C$2:$C$59,"OWED")</f>
        <v/>
      </c>
    </row>
    <row r="35">
      <c r="A35" s="9" t="inlineStr">
        <is>
          <t>Billing profile data references</t>
        </is>
      </c>
      <c r="B35" s="12">
        <f>COUNTIF('Open Questions'!$B$2:$B$59,$A35)</f>
        <v/>
      </c>
      <c r="C35" s="12">
        <f>COUNTIFS('Open Questions'!$B$2:$B$59,$A35,'Open Questions'!$C$2:$C$59,"OWED")</f>
        <v/>
      </c>
    </row>
  </sheetData>
  <mergeCells count="8">
    <mergeCell ref="B8"/>
    <mergeCell ref="B4"/>
    <mergeCell ref="A1:C1"/>
    <mergeCell ref="B7"/>
    <mergeCell ref="B6"/>
    <mergeCell ref="B5"/>
    <mergeCell ref="A11:C13"/>
    <mergeCell ref="A2:C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7" customWidth="1" min="1" max="1"/>
    <col width="26" customWidth="1" min="2" max="2"/>
    <col width="9" customWidth="1" min="3" max="3"/>
    <col width="14" customWidth="1" min="4" max="4"/>
    <col width="52" customWidth="1" min="5" max="5"/>
    <col width="74" customWidth="1" min="6" max="6"/>
    <col width="46" customWidth="1" min="7" max="7"/>
    <col width="9" customWidth="1" min="8" max="8"/>
  </cols>
  <sheetData>
    <row r="1" ht="30" customHeight="1">
      <c r="A1" s="8" t="inlineStr">
        <is>
          <t>ID</t>
        </is>
      </c>
      <c r="B1" s="8" t="inlineStr">
        <is>
          <t>Area</t>
        </is>
      </c>
      <c r="C1" s="8" t="inlineStr">
        <is>
          <t>Status</t>
        </is>
      </c>
      <c r="D1" s="8" t="inlineStr">
        <is>
          <t>Committed as</t>
        </is>
      </c>
      <c r="E1" s="8" t="inlineStr">
        <is>
          <t>Question</t>
        </is>
      </c>
      <c r="F1" s="8" t="inlineStr">
        <is>
          <t>What is known / why it matters</t>
        </is>
      </c>
      <c r="G1" s="8" t="inlineStr">
        <is>
          <t>Source</t>
        </is>
      </c>
      <c r="H1" s="8" t="inlineStr">
        <is>
          <t>Priority area</t>
        </is>
      </c>
    </row>
    <row r="2" ht="58" customHeight="1">
      <c r="A2" s="12" t="inlineStr">
        <is>
          <t>Q01</t>
        </is>
      </c>
      <c r="B2" s="13" t="inlineStr">
        <is>
          <t>Identification and KYC</t>
        </is>
      </c>
      <c r="C2" s="14" t="inlineStr">
        <is>
          <t>GAP</t>
        </is>
      </c>
      <c r="D2" s="12" t="inlineStr"/>
      <c r="E2" s="15" t="inlineStr">
        <is>
          <t>What is the "one unspecified exception" to the QID-mandatory rule?</t>
        </is>
      </c>
      <c r="F2" s="13" t="inlineStr">
        <is>
          <t>The foundational rule is confirmed: postpaid cannot be sold against any ID type other than QID, "with one unspecified exception to be discussed later". That discussion is not in the corpus. This is the single highest-value open question in the journey, because it defines who can be sold to at all.</t>
        </is>
      </c>
      <c r="G2" s="16" t="inlineStr">
        <is>
          <t>business-workshop-session-1-postpaid-service-20260625-124533-4b09c0db [00:25:18]</t>
        </is>
      </c>
      <c r="H2" s="12" t="n">
        <v>1</v>
      </c>
    </row>
    <row r="3" ht="58" customHeight="1">
      <c r="A3" s="12" t="inlineStr">
        <is>
          <t>Q02</t>
        </is>
      </c>
      <c r="B3" s="13" t="inlineStr">
        <is>
          <t>Identification and KYC</t>
        </is>
      </c>
      <c r="C3" s="14" t="inlineStr">
        <is>
          <t>GAP</t>
        </is>
      </c>
      <c r="D3" s="12" t="inlineStr"/>
      <c r="E3" s="15" t="inlineStr">
        <is>
          <t>Is Diplomatic ID inside or outside that rule?</t>
        </is>
      </c>
      <c r="F3" s="13" t="inlineStr">
        <is>
          <t>The app currently sells directly against QID or Diplomatic ID, and routes Passport / GCC ID / other exception documents to CBM approval. The QID-mandatory rule as written would exclude Diplomatic ID too. Needs an explicit yes/no.</t>
        </is>
      </c>
      <c r="G3" s="16" t="inlineStr"/>
      <c r="H3" s="12" t="n">
        <v>1</v>
      </c>
    </row>
    <row r="4" ht="58" customHeight="1">
      <c r="A4" s="12" t="inlineStr">
        <is>
          <t>Q03</t>
        </is>
      </c>
      <c r="B4" s="13" t="inlineStr">
        <is>
          <t>Identification and KYC</t>
        </is>
      </c>
      <c r="C4" s="14" t="inlineStr">
        <is>
          <t>GAP</t>
        </is>
      </c>
      <c r="D4" s="12" t="inlineStr"/>
      <c r="E4" s="15" t="inlineStr">
        <is>
          <t>What is the ID expiry policy?</t>
        </is>
      </c>
      <c r="F4" s="13" t="inlineStr">
        <is>
          <t>No source document states one, and the source dataset carried no expiry field at all. Open: is an expired document a hard stop or a correctable warning? Is there a minimum remaining validity (e.g. must not expire within the contract term)? What about a document with no expiry recorded?</t>
        </is>
      </c>
      <c r="G4" s="16" t="inlineStr"/>
      <c r="H4" s="12" t="n">
        <v>1</v>
      </c>
    </row>
    <row r="5" ht="58" customHeight="1">
      <c r="A5" s="12" t="inlineStr">
        <is>
          <t>Q04</t>
        </is>
      </c>
      <c r="B5" s="13" t="inlineStr">
        <is>
          <t>Identification and KYC</t>
        </is>
      </c>
      <c r="C5" s="14" t="inlineStr">
        <is>
          <t>GAP</t>
        </is>
      </c>
      <c r="D5" s="12" t="inlineStr"/>
      <c r="E5" s="15" t="inlineStr">
        <is>
          <t>How many scan attempts before the agent may key the number manually?</t>
        </is>
      </c>
      <c r="F5" s="13" t="inlineStr">
        <is>
          <t>The app allows four, taken from a reference screenshot showing "Scan Attempts: 0 / 4". No business rule states it. Also open: after four failures, is manual entry actually permitted, or must the customer be turned away?</t>
        </is>
      </c>
      <c r="G5" s="16" t="inlineStr"/>
      <c r="H5" s="12" t="n">
        <v>1</v>
      </c>
    </row>
    <row r="6" ht="58" customHeight="1">
      <c r="A6" s="12" t="inlineStr">
        <is>
          <t>Q05</t>
        </is>
      </c>
      <c r="B6" s="13" t="inlineStr">
        <is>
          <t>Identification and KYC</t>
        </is>
      </c>
      <c r="C6" s="14" t="inlineStr">
        <is>
          <t>GAP</t>
        </is>
      </c>
      <c r="D6" s="12" t="inlineStr"/>
      <c r="E6" s="15" t="inlineStr">
        <is>
          <t>What does MOI return, and what is authoritative?</t>
        </is>
      </c>
      <c r="F6" s="13" t="inlineStr">
        <is>
          <t>The workshop mentions "up to 5-6 name fields". The app splits a single name on whitespace into First / Last, which is a guess. Open: the real field list, and which MOI-sourced fields the agent may override.</t>
        </is>
      </c>
      <c r="G6" s="16" t="inlineStr"/>
      <c r="H6" s="12" t="n">
        <v>1</v>
      </c>
    </row>
    <row r="7" ht="58" customHeight="1">
      <c r="A7" s="12" t="inlineStr">
        <is>
          <t>Q06</t>
        </is>
      </c>
      <c r="B7" s="13" t="inlineStr">
        <is>
          <t>Identification and KYC</t>
        </is>
      </c>
      <c r="C7" s="14" t="inlineStr">
        <is>
          <t>GAP</t>
        </is>
      </c>
      <c r="D7" s="12" t="inlineStr"/>
      <c r="E7" s="15" t="inlineStr">
        <is>
          <t>Is the MOI national address service available?</t>
        </is>
      </c>
      <c r="F7" s="13" t="inlineStr">
        <is>
          <t>Logged as an action item ("Vishal to enable") with no recorded outcome.</t>
        </is>
      </c>
      <c r="G7" s="16" t="inlineStr">
        <is>
          <t>business-workshop-session-1-postpaid-service-20260625-124533-4b09c0db [00:32:41]</t>
        </is>
      </c>
      <c r="H7" s="12" t="n">
        <v>1</v>
      </c>
    </row>
    <row r="8" ht="58" customHeight="1">
      <c r="A8" s="12" t="inlineStr">
        <is>
          <t>Q07</t>
        </is>
      </c>
      <c r="B8" s="13" t="inlineStr">
        <is>
          <t>Identification and KYC</t>
        </is>
      </c>
      <c r="C8" s="14" t="inlineStr">
        <is>
          <t>GAP</t>
        </is>
      </c>
      <c r="D8" s="12" t="inlineStr"/>
      <c r="E8" s="15" t="inlineStr">
        <is>
          <t>Does IDWise OCR support Arabic?</t>
        </is>
      </c>
      <c r="F8" s="13" t="inlineStr">
        <is>
          <t>Raised as an open question in workshop and never answered. Also open: behaviour on a damaged or worn card, and timeout handling.</t>
        </is>
      </c>
      <c r="G8" s="16" t="inlineStr">
        <is>
          <t>business-workshop-day2-session-2-postpaid-service-20260628-1-bf394204 [00:51:24]</t>
        </is>
      </c>
      <c r="H8" s="12" t="n">
        <v>1</v>
      </c>
    </row>
    <row r="9" ht="58" customHeight="1">
      <c r="A9" s="12" t="inlineStr">
        <is>
          <t>Q08</t>
        </is>
      </c>
      <c r="B9" s="13" t="inlineStr">
        <is>
          <t>Identification and KYC</t>
        </is>
      </c>
      <c r="C9" s="14" t="inlineStr">
        <is>
          <t>GAP</t>
        </is>
      </c>
      <c r="D9" s="12" t="inlineStr"/>
      <c r="E9" s="15" t="inlineStr">
        <is>
          <t>Security questions / customer verification model.</t>
        </is>
      </c>
      <c r="F9" s="13" t="inlineStr">
        <is>
          <t>The workshop session that covered this is materially incomplete - only ~29 of 186 minutes decoded. Whatever was agreed about the security-question model and KYC verification procedure exists only in the facilitators' own notes or the raw recording.</t>
        </is>
      </c>
      <c r="G9" s="16" t="inlineStr">
        <is>
          <t>business-workshop-day5-session-1-postpaid-service-20260701-0-a55f2808 (medium confidence)</t>
        </is>
      </c>
      <c r="H9" s="12" t="n">
        <v>1</v>
      </c>
    </row>
    <row r="10" ht="58" customHeight="1">
      <c r="A10" s="12" t="inlineStr">
        <is>
          <t>Q09</t>
        </is>
      </c>
      <c r="B10" s="13" t="inlineStr">
        <is>
          <t>Eligibility and line caps</t>
        </is>
      </c>
      <c r="C10" s="14" t="inlineStr">
        <is>
          <t>GAP</t>
        </is>
      </c>
      <c r="D10" s="12" t="inlineStr"/>
      <c r="E10" s="15" t="inlineStr">
        <is>
          <t>What exactly does each eligibility check query?</t>
        </is>
      </c>
      <c r="F10" s="13" t="inlineStr">
        <is>
          <t>The journey runs seven checks (ID validity, age, ID type, collections, security, deals, active lines). The corpus names them but never says which system answers each one (BRM? Collections? a blacklist DB?), whether they run in sequence or parallel, what the timeout is, or what the agent should do when a check system is unavailable.</t>
        </is>
      </c>
      <c r="G10" s="16" t="inlineStr">
        <is>
          <t>order-validation-business-rules-45d0e9f0</t>
        </is>
      </c>
      <c r="H10" s="12" t="inlineStr"/>
    </row>
    <row r="11" ht="58" customHeight="1">
      <c r="A11" s="12" t="inlineStr">
        <is>
          <t>Q10</t>
        </is>
      </c>
      <c r="B11" s="13" t="inlineStr">
        <is>
          <t>Eligibility and line caps</t>
        </is>
      </c>
      <c r="C11" s="14" t="inlineStr">
        <is>
          <t>GAP</t>
        </is>
      </c>
      <c r="D11" s="12" t="inlineStr"/>
      <c r="E11" s="15" t="inlineStr">
        <is>
          <t>Is the minimum age 18?</t>
        </is>
      </c>
      <c r="F11" s="13" t="inlineStr">
        <is>
          <t>The app assumes it. No source states an age.</t>
        </is>
      </c>
      <c r="G11" s="16" t="inlineStr"/>
      <c r="H11" s="12" t="inlineStr"/>
    </row>
    <row r="12" ht="58" customHeight="1">
      <c r="A12" s="12" t="inlineStr">
        <is>
          <t>Q11</t>
        </is>
      </c>
      <c r="B12" s="13" t="inlineStr">
        <is>
          <t>Eligibility and line caps</t>
        </is>
      </c>
      <c r="C12" s="14" t="inlineStr">
        <is>
          <t>GAP</t>
        </is>
      </c>
      <c r="D12" s="12" t="inlineStr"/>
      <c r="E12" s="15" t="inlineStr">
        <is>
          <t>Is the 5-line cap for non-nationals per operator or across all Qatari operators?</t>
        </is>
      </c>
      <c r="F12" s="13" t="inlineStr">
        <is>
          <t>"Per operator" is stated but not defined. If it is market-wide, the check cannot be answered from VFQ data alone.</t>
        </is>
      </c>
      <c r="G12" s="16" t="inlineStr">
        <is>
          <t>business-workshop-session-1-postpaid-service-20260625-124533-4b09c0db [00:53:54-00:58:37]</t>
        </is>
      </c>
      <c r="H12" s="12" t="inlineStr"/>
    </row>
    <row r="13" ht="58" customHeight="1">
      <c r="A13" s="12" t="inlineStr">
        <is>
          <t>Q12</t>
        </is>
      </c>
      <c r="B13" s="13" t="inlineStr">
        <is>
          <t>Eligibility and line caps</t>
        </is>
      </c>
      <c r="C13" s="14" t="inlineStr">
        <is>
          <t>GAP</t>
        </is>
      </c>
      <c r="D13" s="12" t="inlineStr"/>
      <c r="E13" s="15" t="inlineStr">
        <is>
          <t>At which step is the line-cap check performed - Contact, Plan or Submit, and what exact wording does the agent see?</t>
        </is>
      </c>
      <c r="F13" s="13" t="inlineStr"/>
      <c r="G13" s="16" t="inlineStr"/>
      <c r="H13" s="12" t="inlineStr"/>
    </row>
    <row r="14" ht="58" customHeight="1">
      <c r="A14" s="12" t="inlineStr">
        <is>
          <t>Q13</t>
        </is>
      </c>
      <c r="B14" s="13" t="inlineStr">
        <is>
          <t>Eligibility and line caps</t>
        </is>
      </c>
      <c r="C14" s="14" t="inlineStr">
        <is>
          <t>GAP</t>
        </is>
      </c>
      <c r="D14" s="12" t="inlineStr"/>
      <c r="E14" s="15" t="inlineStr">
        <is>
          <t>What is the "authorized officer" override?</t>
        </is>
      </c>
      <c r="F14" s="13" t="inlineStr">
        <is>
          <t>The cap is overridable by an authorized-officer flag on the account. Open: who holds that role, how the flag is set, and whether it is an in-journey action or a prerequisite.</t>
        </is>
      </c>
      <c r="G14" s="16" t="inlineStr"/>
      <c r="H14" s="12" t="inlineStr"/>
    </row>
    <row r="15" ht="58" customHeight="1">
      <c r="A15" s="12" t="inlineStr">
        <is>
          <t>Q14</t>
        </is>
      </c>
      <c r="B15" s="13" t="inlineStr">
        <is>
          <t>Eligibility and line caps</t>
        </is>
      </c>
      <c r="C15" s="14" t="inlineStr">
        <is>
          <t>GAP</t>
        </is>
      </c>
      <c r="D15" s="12" t="inlineStr"/>
      <c r="E15" s="15" t="inlineStr">
        <is>
          <t>Does the blacklist category change the outcome?</t>
        </is>
      </c>
      <c r="F15" s="13" t="inlineStr">
        <is>
          <t>The app distinguishes a collections listing (soft stop, prepaid still offerable) from a security listing (hard stop, nothing offerable). That distinction is an inference. Open: the real category list and the disposition for each.</t>
        </is>
      </c>
      <c r="G15" s="16" t="inlineStr"/>
      <c r="H15" s="12" t="inlineStr"/>
    </row>
    <row r="16" ht="58" customHeight="1">
      <c r="A16" s="12" t="inlineStr">
        <is>
          <t>Q15</t>
        </is>
      </c>
      <c r="B16" s="13" t="inlineStr">
        <is>
          <t>Eligibility and line caps</t>
        </is>
      </c>
      <c r="C16" s="14" t="inlineStr">
        <is>
          <t>GAP</t>
        </is>
      </c>
      <c r="D16" s="12" t="inlineStr"/>
      <c r="E16" s="15" t="inlineStr">
        <is>
          <t>Which commitment-penalty states block a new connection?</t>
        </is>
      </c>
      <c r="F16" s="13" t="inlineStr">
        <is>
          <t>The source data has no field for this. Open: does a *pending* penalty block, or only an applied one? Does it block all new connections or only same-product ones?</t>
        </is>
      </c>
      <c r="G16" s="16" t="inlineStr"/>
      <c r="H16" s="12" t="inlineStr"/>
    </row>
    <row r="17" ht="58" customHeight="1">
      <c r="A17" s="12" t="inlineStr">
        <is>
          <t>Q16</t>
        </is>
      </c>
      <c r="B17" s="13" t="inlineStr">
        <is>
          <t>Eligibility and line caps</t>
        </is>
      </c>
      <c r="C17" s="14" t="inlineStr">
        <is>
          <t>GAP</t>
        </is>
      </c>
      <c r="D17" s="12" t="inlineStr"/>
      <c r="E17" s="15" t="inlineStr">
        <is>
          <t>Do barring states affect new-connection eligibility?</t>
        </is>
      </c>
      <c r="F17" s="13" t="inlineStr">
        <is>
          <t>Barring status/type/reason are placeholders throughout - BRSD v3.1 Section 2.13 leaves their Data Ref (DR-01..07) undefined in Annex_01. Open: the valid states, and whether an existing barred line blocks a new sale.</t>
        </is>
      </c>
      <c r="G17" s="16" t="inlineStr"/>
      <c r="H17" s="12" t="inlineStr"/>
    </row>
    <row r="18" ht="58" customHeight="1">
      <c r="A18" s="12" t="inlineStr">
        <is>
          <t>Q17</t>
        </is>
      </c>
      <c r="B18" s="13" t="inlineStr">
        <is>
          <t>Credit control, HRN and deposits</t>
        </is>
      </c>
      <c r="C18" s="17" t="inlineStr">
        <is>
          <t>OWED</t>
        </is>
      </c>
      <c r="D18" s="12" t="inlineStr">
        <is>
          <t>D-08</t>
        </is>
      </c>
      <c r="E18" s="15" t="inlineStr">
        <is>
          <t>The full HRN advance payment matrix.</t>
        </is>
      </c>
      <c r="F18" s="13" t="inlineStr">
        <is>
          <t>Known: Nepalese / HRN customers pay QR 100 in advance, driven by nationality and sales channel and explicitly not by plan value, adjusted against the first bill. Missing: the complete nationality list, the amount per nationality, the channel-specific variations, and whether activation is blocked if it is not paid.</t>
        </is>
      </c>
      <c r="G18" s="16" t="inlineStr">
        <is>
          <t>business-workshop-session-1-postpaid-service-20260625-124533-4b09c0db [00:46:44-00:53:01]</t>
        </is>
      </c>
      <c r="H18" s="12" t="n">
        <v>3</v>
      </c>
    </row>
    <row r="19" ht="58" customHeight="1">
      <c r="A19" s="12" t="inlineStr">
        <is>
          <t>Q18</t>
        </is>
      </c>
      <c r="B19" s="13" t="inlineStr">
        <is>
          <t>Credit control, HRN and deposits</t>
        </is>
      </c>
      <c r="C19" s="17" t="inlineStr">
        <is>
          <t>OWED</t>
        </is>
      </c>
      <c r="D19" s="12" t="inlineStr">
        <is>
          <t>D-07</t>
        </is>
      </c>
      <c r="E19" s="15" t="inlineStr">
        <is>
          <t>Collections outstanding-dues thresholds.</t>
        </is>
      </c>
      <c r="F19" s="13" t="inlineStr">
        <is>
          <t>Known: a billing profile enters collections once overdue exceeds 100. Missing: whether 100 QAR is fixed or configurable, whether it applies uniformly across segments, and the precise definition of "overdue" versus "outstanding".</t>
        </is>
      </c>
      <c r="G19" s="16" t="inlineStr"/>
      <c r="H19" s="12" t="n">
        <v>3</v>
      </c>
    </row>
    <row r="20" ht="58" customHeight="1">
      <c r="A20" s="12" t="inlineStr">
        <is>
          <t>Q19</t>
        </is>
      </c>
      <c r="B20" s="13" t="inlineStr">
        <is>
          <t>Credit control, HRN and deposits</t>
        </is>
      </c>
      <c r="C20" s="14" t="inlineStr">
        <is>
          <t>GAP</t>
        </is>
      </c>
      <c r="D20" s="12" t="inlineStr"/>
      <c r="E20" s="15" t="inlineStr">
        <is>
          <t>Is the collections threshold the same for mobile as for fibre?</t>
        </is>
      </c>
      <c r="F20" s="13" t="inlineStr">
        <is>
          <t>The Fibre BRSD's own open-items log (OI-04) records an unresolved dispute on exactly this - one side says the threshold should differ by product, the other says it should be uniform. No value is agreed anywhere.</t>
        </is>
      </c>
      <c r="G20" s="16" t="inlineStr">
        <is>
          <t>vfq-fibre-brsd-v1-2-068eebe3 [OI-04]</t>
        </is>
      </c>
      <c r="H20" s="12" t="n">
        <v>3</v>
      </c>
    </row>
    <row r="21" ht="58" customHeight="1">
      <c r="A21" s="12" t="inlineStr">
        <is>
          <t>Q20</t>
        </is>
      </c>
      <c r="B21" s="13" t="inlineStr">
        <is>
          <t>Credit control, HRN and deposits</t>
        </is>
      </c>
      <c r="C21" s="14" t="inlineStr">
        <is>
          <t>GAP</t>
        </is>
      </c>
      <c r="D21" s="12" t="inlineStr"/>
      <c r="E21" s="15" t="inlineStr">
        <is>
          <t>What is the default credit limit for a Qatari national?</t>
        </is>
      </c>
      <c r="F21" s="13" t="inlineStr">
        <is>
          <t>Known: 1,000 QAR for an expat on a new account, 50 QAR for HRN. The Qatari default is never stated, and it is unclear whether other nationality segments exist.</t>
        </is>
      </c>
      <c r="G21" s="16" t="inlineStr">
        <is>
          <t>business-workshop-day5-session-2-postpaid-service-20260701-1-d62f0cd4 [00:59:40]</t>
        </is>
      </c>
      <c r="H21" s="12" t="n">
        <v>3</v>
      </c>
    </row>
    <row r="22" ht="58" customHeight="1">
      <c r="A22" s="12" t="inlineStr">
        <is>
          <t>Q21</t>
        </is>
      </c>
      <c r="B22" s="13" t="inlineStr">
        <is>
          <t>Credit control, HRN and deposits</t>
        </is>
      </c>
      <c r="C22" s="14" t="inlineStr">
        <is>
          <t>GAP</t>
        </is>
      </c>
      <c r="D22" s="12" t="inlineStr"/>
      <c r="E22" s="15" t="inlineStr">
        <is>
          <t>What are the credit-limit boundaries an agent may select within?</t>
        </is>
      </c>
      <c r="F22" s="13" t="inlineStr">
        <is>
          <t>The workshop records that there is "no system restriction today preventing any agent from selecting any credit limit value", flagged as an "uncontrolled credit exposure" risk. Modernization has to define the control. Open: the permitted range per segment, and whether an out-of-range value routes to approval or is simply refused.</t>
        </is>
      </c>
      <c r="G22" s="16" t="inlineStr">
        <is>
          <t>business-workshop-day5-session-2-postpaid-service-20260701-1-d62f0cd4 [01:00:21]</t>
        </is>
      </c>
      <c r="H22" s="12" t="n">
        <v>3</v>
      </c>
    </row>
    <row r="23" ht="58" customHeight="1">
      <c r="A23" s="12" t="inlineStr">
        <is>
          <t>Q22</t>
        </is>
      </c>
      <c r="B23" s="13" t="inlineStr">
        <is>
          <t>Credit control, HRN and deposits</t>
        </is>
      </c>
      <c r="C23" s="14" t="inlineStr">
        <is>
          <t>GAP</t>
        </is>
      </c>
      <c r="D23" s="12" t="inlineStr"/>
      <c r="E23" s="15" t="inlineStr">
        <is>
          <t>Is a deposit required, and how does it interact with the credit limit?</t>
        </is>
      </c>
      <c r="F23" s="13" t="inlineStr">
        <is>
          <t>BR-270 requires "a minimum deposit of QR 2,000 or a valid credit card on file" to establish a postpaid credit limit; the Consumer Postpaid CAF also mentions QR 2,000. Open: when this applies, whether it is collected in this journey, and how it relates to the HRN advance. Note the old deposit-for-increase process was discontinued because there was no refund mechanism when customers disconnected - so a refund policy is needed before reintroducing it.</t>
        </is>
      </c>
      <c r="G23" s="16" t="inlineStr"/>
      <c r="H23" s="12" t="n">
        <v>3</v>
      </c>
    </row>
    <row r="24" ht="58" customHeight="1">
      <c r="A24" s="12" t="inlineStr">
        <is>
          <t>Q23</t>
        </is>
      </c>
      <c r="B24" s="13" t="inlineStr">
        <is>
          <t>Credit control, HRN and deposits</t>
        </is>
      </c>
      <c r="C24" s="14" t="inlineStr">
        <is>
          <t>GAP</t>
        </is>
      </c>
      <c r="D24" s="12" t="inlineStr"/>
      <c r="E24" s="15" t="inlineStr">
        <is>
          <t>What is the bill limit ("spend limit") Agent Minimum, currently?</t>
        </is>
      </c>
      <c r="F24" s="13" t="inlineStr">
        <is>
          <t>The corpus gives three data points for the same product: Bill Limit Mobile Plus at 75 in two journeys and 80 in a third, described as "Agent Min raised to 80". Bill Limit Mobile is 50 throughout. This looks like per-promotion configuration that changed over time rather than a contradiction - but the authoritative current mapping of promotion to Agent Minimum is not in the corpus. Enforced at Validate with Siebel error SBL-EXL-00151.</t>
        </is>
      </c>
      <c r="G24" s="16" t="inlineStr">
        <is>
          <t>guided-journeys-postpaid-open-ui-desktop-new-postpaid-f8227f90, guided-journeys-mnp-postpaid-open-ui-desktop-mnp-postpaid-6cb03f33, guided-journeys-pre-to-post-desktop-vanilla-pre-to-post-6d6b61ce</t>
        </is>
      </c>
      <c r="H24" s="12" t="n">
        <v>3</v>
      </c>
    </row>
    <row r="25" ht="58" customHeight="1">
      <c r="A25" s="12" t="inlineStr">
        <is>
          <t>Q24</t>
        </is>
      </c>
      <c r="B25" s="13" t="inlineStr">
        <is>
          <t>CBM approval workflow</t>
        </is>
      </c>
      <c r="C25" s="14" t="inlineStr">
        <is>
          <t>GAP</t>
        </is>
      </c>
      <c r="D25" s="12" t="inlineStr"/>
      <c r="E25" s="15" t="inlineStr">
        <is>
          <t>What conditions route an order to CBM approval rather than auto-completing?</t>
        </is>
      </c>
      <c r="F25" s="13" t="inlineStr">
        <is>
          <t>The app routes on B2B2C and on the HRN/credit-limit variant (BR-268, UJ-081). Open: whether high credit limits, pre-existing connections, exception ID types, or device installments also trigger it.</t>
        </is>
      </c>
      <c r="G25" s="16" t="inlineStr"/>
      <c r="H25" s="12" t="n">
        <v>2</v>
      </c>
    </row>
    <row r="26" ht="58" customHeight="1">
      <c r="A26" s="12" t="inlineStr">
        <is>
          <t>Q25</t>
        </is>
      </c>
      <c r="B26" s="13" t="inlineStr">
        <is>
          <t>CBM approval workflow</t>
        </is>
      </c>
      <c r="C26" s="14" t="inlineStr">
        <is>
          <t>GAP</t>
        </is>
      </c>
      <c r="D26" s="12" t="inlineStr"/>
      <c r="E26" s="15" t="inlineStr">
        <is>
          <t>What does the CBM approver actually validate, and against which systems?</t>
        </is>
      </c>
      <c r="F26" s="13" t="inlineStr"/>
      <c r="G26" s="16" t="inlineStr"/>
      <c r="H26" s="12" t="n">
        <v>2</v>
      </c>
    </row>
    <row r="27" ht="58" customHeight="1">
      <c r="A27" s="12" t="inlineStr">
        <is>
          <t>Q26</t>
        </is>
      </c>
      <c r="B27" s="13" t="inlineStr">
        <is>
          <t>CBM approval workflow</t>
        </is>
      </c>
      <c r="C27" s="14" t="inlineStr">
        <is>
          <t>GAP</t>
        </is>
      </c>
      <c r="D27" s="12" t="inlineStr"/>
      <c r="E27" s="15" t="inlineStr">
        <is>
          <t>Can CBM modify order details before approving, or only approve and reject?</t>
        </is>
      </c>
      <c r="F27" s="13" t="inlineStr"/>
      <c r="G27" s="16" t="inlineStr"/>
      <c r="H27" s="12" t="n">
        <v>2</v>
      </c>
    </row>
    <row r="28" ht="58" customHeight="1">
      <c r="A28" s="12" t="inlineStr">
        <is>
          <t>Q27</t>
        </is>
      </c>
      <c r="B28" s="13" t="inlineStr">
        <is>
          <t>CBM approval workflow</t>
        </is>
      </c>
      <c r="C28" s="14" t="inlineStr">
        <is>
          <t>GAP</t>
        </is>
      </c>
      <c r="D28" s="12" t="inlineStr"/>
      <c r="E28" s="15" t="inlineStr">
        <is>
          <t>What is the SLA for an approval decision, and what does the agent or customer see while waiting?</t>
        </is>
      </c>
      <c r="F28" s="13" t="inlineStr"/>
      <c r="G28" s="16" t="inlineStr"/>
      <c r="H28" s="12" t="n">
        <v>2</v>
      </c>
    </row>
    <row r="29" ht="58" customHeight="1">
      <c r="A29" s="12" t="inlineStr">
        <is>
          <t>Q28</t>
        </is>
      </c>
      <c r="B29" s="13" t="inlineStr">
        <is>
          <t>CBM approval workflow</t>
        </is>
      </c>
      <c r="C29" s="14" t="inlineStr">
        <is>
          <t>GAP</t>
        </is>
      </c>
      <c r="D29" s="12" t="inlineStr"/>
      <c r="E29" s="15" t="inlineStr">
        <is>
          <t>What is the difference between "Reject - Correction" and "Reject - Drop Order"?</t>
        </is>
      </c>
      <c r="F29" s="13" t="inlineStr">
        <is>
          <t>Both appear in the UI. Whether the first returns an editable order to the originating agent is assumed, not documented.</t>
        </is>
      </c>
      <c r="G29" s="16" t="inlineStr"/>
      <c r="H29" s="12" t="n">
        <v>2</v>
      </c>
    </row>
    <row r="30" ht="58" customHeight="1">
      <c r="A30" s="12" t="inlineStr">
        <is>
          <t>Q29</t>
        </is>
      </c>
      <c r="B30" s="13" t="inlineStr">
        <is>
          <t>CBM approval workflow</t>
        </is>
      </c>
      <c r="C30" s="17" t="inlineStr">
        <is>
          <t>OWED</t>
        </is>
      </c>
      <c r="D30" s="12" t="inlineStr">
        <is>
          <t>MPAR_001_JSM_02</t>
        </is>
      </c>
      <c r="E30" s="15" t="inlineStr">
        <is>
          <t>The agent role privilege matrix</t>
        </is>
      </c>
      <c r="F30" s="13" t="inlineStr">
        <is>
          <t>is listed as TBD in the BRSD and never populated. This determines who can approve, who can override a cap, and who can set a credit limit.</t>
        </is>
      </c>
      <c r="G30" s="16" t="inlineStr"/>
      <c r="H30" s="12" t="n">
        <v>2</v>
      </c>
    </row>
    <row r="31" ht="58" customHeight="1">
      <c r="A31" s="12" t="inlineStr">
        <is>
          <t>Q30</t>
        </is>
      </c>
      <c r="B31" s="13" t="inlineStr">
        <is>
          <t>Number selection</t>
        </is>
      </c>
      <c r="C31" s="17" t="inlineStr">
        <is>
          <t>OWED</t>
        </is>
      </c>
      <c r="D31" s="12" t="inlineStr">
        <is>
          <t>D-02</t>
        </is>
      </c>
      <c r="E31" s="15" t="inlineStr">
        <is>
          <t>The plan-price to star-number-price eligibility matrix.</t>
        </is>
      </c>
      <c r="F31" s="13" t="inlineStr">
        <is>
          <t>Known only as an approximation: "a 200 Riyal plan entitles ~5,000 Riyal worth of star number", with the customer paying the delta at point of sale. Missing: the exact formula or lookup table, the exceptions by product, and how the delta is calculated and charged.</t>
        </is>
      </c>
      <c r="G31" s="16" t="inlineStr">
        <is>
          <t>business-workshop-session-1-postpaid-service-20260625-124533-4b09c0db [01:20:26]</t>
        </is>
      </c>
      <c r="H31" s="12" t="n">
        <v>6</v>
      </c>
    </row>
    <row r="32" ht="58" customHeight="1">
      <c r="A32" s="12" t="inlineStr">
        <is>
          <t>Q31</t>
        </is>
      </c>
      <c r="B32" s="13" t="inlineStr">
        <is>
          <t>Number selection</t>
        </is>
      </c>
      <c r="C32" s="14" t="inlineStr">
        <is>
          <t>GAP</t>
        </is>
      </c>
      <c r="D32" s="12" t="inlineStr"/>
      <c r="E32" s="15" t="inlineStr">
        <is>
          <t>What determines which numbers an agent sees?</t>
        </is>
      </c>
      <c r="F32" s="13" t="inlineStr">
        <is>
          <t>BR-756 says numbers are auto-selected for fixed and prepaid (zero-rated) but not for mobile postpaid "since those numbers carry a price" - yet nothing in the number inventory distinguishes zero-rated from priced. Open: the filter and visibility logic for the postpaid picker.</t>
        </is>
      </c>
      <c r="G32" s="16" t="inlineStr"/>
      <c r="H32" s="12" t="n">
        <v>6</v>
      </c>
    </row>
    <row r="33" ht="58" customHeight="1">
      <c r="A33" s="12" t="inlineStr">
        <is>
          <t>Q32</t>
        </is>
      </c>
      <c r="B33" s="13" t="inlineStr">
        <is>
          <t>Number selection</t>
        </is>
      </c>
      <c r="C33" s="14" t="inlineStr">
        <is>
          <t>GAP</t>
        </is>
      </c>
      <c r="D33" s="12" t="inlineStr"/>
      <c r="E33" s="15" t="inlineStr">
        <is>
          <t>How long is a reserved number held before auto-release?</t>
        </is>
      </c>
      <c r="F33" s="13" t="inlineStr"/>
      <c r="G33" s="16" t="inlineStr"/>
      <c r="H33" s="12" t="n">
        <v>6</v>
      </c>
    </row>
    <row r="34" ht="58" customHeight="1">
      <c r="A34" s="12" t="inlineStr">
        <is>
          <t>Q33</t>
        </is>
      </c>
      <c r="B34" s="13" t="inlineStr">
        <is>
          <t>Number selection</t>
        </is>
      </c>
      <c r="C34" s="14" t="inlineStr">
        <is>
          <t>GAP</t>
        </is>
      </c>
      <c r="D34" s="12" t="inlineStr"/>
      <c r="E34" s="15" t="inlineStr">
        <is>
          <t>What is the star-number tier and pricing structure?</t>
        </is>
      </c>
      <c r="F34" s="13" t="inlineStr">
        <is>
          <t>The app seeds Gold / Silver / Platinum tiers priced by pattern strength. That model is invented; only a single Gold number at 500 QAR was evidenced.</t>
        </is>
      </c>
      <c r="G34" s="16" t="inlineStr"/>
      <c r="H34" s="12" t="n">
        <v>6</v>
      </c>
    </row>
    <row r="35" ht="58" customHeight="1">
      <c r="A35" s="12" t="inlineStr">
        <is>
          <t>Q34</t>
        </is>
      </c>
      <c r="B35" s="13" t="inlineStr">
        <is>
          <t>Number selection</t>
        </is>
      </c>
      <c r="C35" s="14" t="inlineStr">
        <is>
          <t>GAP</t>
        </is>
      </c>
      <c r="D35" s="12" t="inlineStr"/>
      <c r="E35" s="15" t="inlineStr">
        <is>
          <t>Who reserves a number, and on what authority?</t>
        </is>
      </c>
      <c r="F35" s="13" t="inlineStr">
        <is>
          <t>The Number Management Portal is in scope per Day 5 Session 2, but the agent-facing workflow is not described.</t>
        </is>
      </c>
      <c r="G35" s="16" t="inlineStr"/>
      <c r="H35" s="12" t="n">
        <v>6</v>
      </c>
    </row>
    <row r="36" ht="58" customHeight="1">
      <c r="A36" s="12" t="inlineStr">
        <is>
          <t>Q35</t>
        </is>
      </c>
      <c r="B36" s="13" t="inlineStr">
        <is>
          <t>Device on Installment (DOI)</t>
        </is>
      </c>
      <c r="C36" s="14" t="inlineStr">
        <is>
          <t>GAP</t>
        </is>
      </c>
      <c r="D36" s="12" t="inlineStr"/>
      <c r="E36" s="15" t="inlineStr">
        <is>
          <t>Can DOI be sold inside a new postpaid activation, or only afterwards?</t>
        </is>
      </c>
      <c r="F36" s="13" t="inlineStr">
        <is>
          <t>Day 1 explicitly deferred DOI; Day 5 discussed it as a separate journey. The app includes it as step 6 of the activation. This needs confirming either way.</t>
        </is>
      </c>
      <c r="G36" s="16" t="inlineStr"/>
      <c r="H36" s="12" t="n">
        <v>7</v>
      </c>
    </row>
    <row r="37" ht="58" customHeight="1">
      <c r="A37" s="12" t="inlineStr">
        <is>
          <t>Q36</t>
        </is>
      </c>
      <c r="B37" s="13" t="inlineStr">
        <is>
          <t>Device on Installment (DOI)</t>
        </is>
      </c>
      <c r="C37" s="14" t="inlineStr">
        <is>
          <t>GAP</t>
        </is>
      </c>
      <c r="D37" s="12" t="inlineStr"/>
      <c r="E37" s="15" t="inlineStr">
        <is>
          <t>Is DOI order submission manual or automated?</t>
        </is>
      </c>
      <c r="F37" s="13" t="inlineStr">
        <is>
          <t>Recorded as an unresolved disagreement between workshop participants, with a confirm action assigned to Hisham and no recorded outcome.</t>
        </is>
      </c>
      <c r="G37" s="16" t="inlineStr">
        <is>
          <t>business-workshop-day5-session-2-postpaid-service-20260701-1-d62f0cd4 [01:14:40]</t>
        </is>
      </c>
      <c r="H37" s="12" t="n">
        <v>7</v>
      </c>
    </row>
    <row r="38" ht="58" customHeight="1">
      <c r="A38" s="12" t="inlineStr">
        <is>
          <t>Q37</t>
        </is>
      </c>
      <c r="B38" s="13" t="inlineStr">
        <is>
          <t>Device on Installment (DOI)</t>
        </is>
      </c>
      <c r="C38" s="14" t="inlineStr">
        <is>
          <t>GAP</t>
        </is>
      </c>
      <c r="D38" s="12" t="inlineStr"/>
      <c r="E38" s="15" t="inlineStr">
        <is>
          <t>What is the device affordability rule?</t>
        </is>
      </c>
      <c r="F38" s="13" t="inlineStr">
        <is>
          <t>The app gates device price at five times the credit limit. That multiplier is invented. Open: the real affordability test, if any.</t>
        </is>
      </c>
      <c r="G38" s="16" t="inlineStr"/>
      <c r="H38" s="12" t="n">
        <v>7</v>
      </c>
    </row>
    <row r="39" ht="58" customHeight="1">
      <c r="A39" s="12" t="inlineStr">
        <is>
          <t>Q38</t>
        </is>
      </c>
      <c r="B39" s="13" t="inlineStr">
        <is>
          <t>Device on Installment (DOI)</t>
        </is>
      </c>
      <c r="C39" s="14" t="inlineStr">
        <is>
          <t>GAP</t>
        </is>
      </c>
      <c r="D39" s="12" t="inlineStr"/>
      <c r="E39" s="15" t="inlineStr">
        <is>
          <t>What installment terms are offered?</t>
        </is>
      </c>
      <c r="F39" s="13" t="inlineStr">
        <is>
          <t>The app offers 6, 12 and 24 months. No source states the available terms, the interest or fee treatment, or eligibility by tenure.</t>
        </is>
      </c>
      <c r="G39" s="16" t="inlineStr"/>
      <c r="H39" s="12" t="n">
        <v>7</v>
      </c>
    </row>
    <row r="40" ht="58" customHeight="1">
      <c r="A40" s="12" t="inlineStr">
        <is>
          <t>Q39</t>
        </is>
      </c>
      <c r="B40" s="13" t="inlineStr">
        <is>
          <t>SIM, eSIM and provisioning</t>
        </is>
      </c>
      <c r="C40" s="14" t="inlineStr">
        <is>
          <t>GAP</t>
        </is>
      </c>
      <c r="D40" s="12" t="inlineStr"/>
      <c r="E40" s="15" t="inlineStr">
        <is>
          <t>What is the real eSIM provisioning flow?</t>
        </is>
      </c>
      <c r="F40" s="13" t="inlineStr">
        <is>
          <t>The app produces a GSMA SGP.22-shaped activation string against a mock SM-DP+; there is no integration contract in the corpus. Open: the provisioning call, the QR delivery mechanism, and the failure and retry path.</t>
        </is>
      </c>
      <c r="G40" s="16" t="inlineStr"/>
      <c r="H40" s="12" t="inlineStr"/>
    </row>
    <row r="41" ht="58" customHeight="1">
      <c r="A41" s="12" t="inlineStr">
        <is>
          <t>Q40</t>
        </is>
      </c>
      <c r="B41" s="13" t="inlineStr">
        <is>
          <t>SIM, eSIM and provisioning</t>
        </is>
      </c>
      <c r="C41" s="14" t="inlineStr">
        <is>
          <t>GAP</t>
        </is>
      </c>
      <c r="D41" s="12" t="inlineStr"/>
      <c r="E41" s="15" t="inlineStr">
        <is>
          <t>Can multi-SIM or companion devices (iWatch) be ordered during a new activation?</t>
        </is>
      </c>
      <c r="F41" s="13" t="inlineStr">
        <is>
          <t>Day 5 Session 2 says up to 4 per plan, but not when they can be ordered - at the point of sale or only by later modification.</t>
        </is>
      </c>
      <c r="G41" s="16" t="inlineStr"/>
      <c r="H41" s="12" t="inlineStr"/>
    </row>
    <row r="42" ht="58" customHeight="1">
      <c r="A42" s="12" t="inlineStr">
        <is>
          <t>Q41</t>
        </is>
      </c>
      <c r="B42" s="13" t="inlineStr">
        <is>
          <t>SIM, eSIM and provisioning</t>
        </is>
      </c>
      <c r="C42" s="14" t="inlineStr">
        <is>
          <t>GAP</t>
        </is>
      </c>
      <c r="D42" s="12" t="inlineStr"/>
      <c r="E42" s="15" t="inlineStr">
        <is>
          <t>What is the order state machine after submission?</t>
        </is>
      </c>
      <c r="F42" s="13" t="inlineStr">
        <is>
          <t>Fulfilment is explicitly out of scope for the Activation BRSD. Open: the provisioning SLA, the intermediate states, retry and failure handling, and whether an activation can be reversed once submitted.</t>
        </is>
      </c>
      <c r="G42" s="16" t="inlineStr"/>
      <c r="H42" s="12" t="inlineStr"/>
    </row>
    <row r="43" ht="58" customHeight="1">
      <c r="A43" s="12" t="inlineStr">
        <is>
          <t>Q42</t>
        </is>
      </c>
      <c r="B43" s="13" t="inlineStr">
        <is>
          <t>Address capture</t>
        </is>
      </c>
      <c r="C43" s="14" t="inlineStr">
        <is>
          <t>GAP</t>
        </is>
      </c>
      <c r="D43" s="12" t="inlineStr"/>
      <c r="E43" s="15" t="inlineStr">
        <is>
          <t>Is ZSB address capture mandatory for a mobile postpaid sale?</t>
        </is>
      </c>
      <c r="F43" s="13" t="inlineStr">
        <is>
          <t>Directly contradictory evidence: the Consumer Activation Process Manual v8.0 says ZSB capture is mandatory in both the Prepaid (S2.1.15) and Postpaid (S3.1.12) sections, while the Day 7 stack-modernization workshop says it applies to FWA / fixed only. The app treats it as advisory and does not block. Tracked as BR-ZSB-MANDATORY-FOR-MOBILE in src/engines/ruleEngine.ts and as Conflict 2 in reference/blueprint/conflict-report.md.</t>
        </is>
      </c>
      <c r="G43" s="16" t="inlineStr"/>
      <c r="H43" s="12" t="n">
        <v>8</v>
      </c>
    </row>
    <row r="44" ht="58" customHeight="1">
      <c r="A44" s="12" t="inlineStr">
        <is>
          <t>Q43</t>
        </is>
      </c>
      <c r="B44" s="13" t="inlineStr">
        <is>
          <t>Address capture</t>
        </is>
      </c>
      <c r="C44" s="14" t="inlineStr">
        <is>
          <t>GAP</t>
        </is>
      </c>
      <c r="D44" s="12" t="inlineStr"/>
      <c r="E44" s="15" t="inlineStr">
        <is>
          <t>Is a Kahramaa ID (KID) needed for a mobile line?</t>
        </is>
      </c>
      <c r="F44" s="13" t="inlineStr">
        <is>
          <t>The app treats it as optional for postpaid on the reasoning that a mobile line needs no serviceable premises, unlike fibre. That reasoning is ours, not the corpus's.</t>
        </is>
      </c>
      <c r="G44" s="16" t="inlineStr"/>
      <c r="H44" s="12" t="n">
        <v>8</v>
      </c>
    </row>
    <row r="45" ht="58" customHeight="1">
      <c r="A45" s="12" t="inlineStr">
        <is>
          <t>Q44</t>
        </is>
      </c>
      <c r="B45" s="13" t="inlineStr">
        <is>
          <t>Address capture</t>
        </is>
      </c>
      <c r="C45" s="14" t="inlineStr">
        <is>
          <t>GAP</t>
        </is>
      </c>
      <c r="D45" s="12" t="inlineStr"/>
      <c r="E45" s="15" t="inlineStr">
        <is>
          <t>Are there address validation rules for mobile at all?</t>
        </is>
      </c>
      <c r="F45" s="13" t="inlineStr">
        <is>
          <t>KID and address validation are specified in detail for Fibre and absent for mobile.</t>
        </is>
      </c>
      <c r="G45" s="16" t="inlineStr"/>
      <c r="H45" s="12" t="n">
        <v>8</v>
      </c>
    </row>
    <row r="46" ht="58" customHeight="1">
      <c r="A46" s="12" t="inlineStr">
        <is>
          <t>Q45</t>
        </is>
      </c>
      <c r="B46" s="13" t="inlineStr">
        <is>
          <t>Forms, payment and notifications</t>
        </is>
      </c>
      <c r="C46" s="17" t="inlineStr">
        <is>
          <t>OWED</t>
        </is>
      </c>
      <c r="D46" s="12" t="inlineStr">
        <is>
          <t>D-03</t>
        </is>
      </c>
      <c r="E46" s="15" t="inlineStr">
        <is>
          <t>The CAF template routing matrix</t>
        </is>
      </c>
      <c r="F46" s="13" t="inlineStr">
        <is>
          <t>- which CAF variant applies to which channel, role and service type. Also needs resolving: the Consumer Postpaid CAF V4 and Consumer Prepaid CAF V2 are both stamped Form ID PCA001. Intentional shared ID, or a numbering error? (Also Conflict item 1 in reference/blueprint/conflict-report.md.)</t>
        </is>
      </c>
      <c r="G46" s="16" t="inlineStr"/>
      <c r="H46" s="12" t="inlineStr"/>
    </row>
    <row r="47" ht="58" customHeight="1">
      <c r="A47" s="12" t="inlineStr">
        <is>
          <t>Q46</t>
        </is>
      </c>
      <c r="B47" s="13" t="inlineStr">
        <is>
          <t>Forms, payment and notifications</t>
        </is>
      </c>
      <c r="C47" s="14" t="inlineStr">
        <is>
          <t>GAP</t>
        </is>
      </c>
      <c r="D47" s="12" t="inlineStr"/>
      <c r="E47" s="15" t="inlineStr">
        <is>
          <t>Is the CAF ID-number binding used for postpaid?</t>
        </is>
      </c>
      <c r="F47" s="13" t="inlineStr">
        <is>
          <t>The evidenced behaviour - "CAF form dynamically binds Qatari ID/Passport number field" - is documented for prepaid subscribers only. The app omits it for postpaid rather than assume it.</t>
        </is>
      </c>
      <c r="G47" s="16" t="inlineStr"/>
      <c r="H47" s="12" t="inlineStr"/>
    </row>
    <row r="48" ht="58" customHeight="1">
      <c r="A48" s="12" t="inlineStr">
        <is>
          <t>Q47</t>
        </is>
      </c>
      <c r="B48" s="13" t="inlineStr">
        <is>
          <t>Forms, payment and notifications</t>
        </is>
      </c>
      <c r="C48" s="14" t="inlineStr">
        <is>
          <t>GAP</t>
        </is>
      </c>
      <c r="D48" s="12" t="inlineStr"/>
      <c r="E48" s="15" t="inlineStr">
        <is>
          <t>Which CAF capture modes are real?</t>
        </is>
      </c>
      <c r="F48" s="13" t="inlineStr">
        <is>
          <t>The app offers Digital, Manual and Touch Screen. Not formally sourced.</t>
        </is>
      </c>
      <c r="G48" s="16" t="inlineStr"/>
      <c r="H48" s="12" t="inlineStr"/>
    </row>
    <row r="49" ht="58" customHeight="1">
      <c r="A49" s="12" t="inlineStr">
        <is>
          <t>Q48</t>
        </is>
      </c>
      <c r="B49" s="13" t="inlineStr">
        <is>
          <t>Forms, payment and notifications</t>
        </is>
      </c>
      <c r="C49" s="14" t="inlineStr">
        <is>
          <t>GAP</t>
        </is>
      </c>
      <c r="D49" s="12" t="inlineStr"/>
      <c r="E49" s="15" t="inlineStr">
        <is>
          <t>The WinCash integration specification.</t>
        </is>
      </c>
      <c r="F49" s="13" t="inlineStr">
        <is>
          <t>WinCash is referenced 30+ times across the corpus with no API contract, field list, or error taxonomy. Open: the decline and retry semantics, and the payment reference format.</t>
        </is>
      </c>
      <c r="G49" s="16" t="inlineStr"/>
      <c r="H49" s="12" t="inlineStr"/>
    </row>
    <row r="50" ht="58" customHeight="1">
      <c r="A50" s="12" t="inlineStr">
        <is>
          <t>Q49</t>
        </is>
      </c>
      <c r="B50" s="13" t="inlineStr">
        <is>
          <t>Forms, payment and notifications</t>
        </is>
      </c>
      <c r="C50" s="17" t="inlineStr">
        <is>
          <t>OWED</t>
        </is>
      </c>
      <c r="D50" s="12" t="inlineStr">
        <is>
          <t>D-04</t>
        </is>
      </c>
      <c r="E50" s="15" t="inlineStr">
        <is>
          <t>The Qnomy MPI API specification</t>
        </is>
      </c>
      <c r="F50" s="13" t="inlineStr">
        <is>
          <t>- schema, plus the fallback logic and timeout behaviour when Qnomy is unavailable.</t>
        </is>
      </c>
      <c r="G50" s="16" t="inlineStr"/>
      <c r="H50" s="12" t="inlineStr"/>
    </row>
    <row r="51" ht="58" customHeight="1">
      <c r="A51" s="12" t="inlineStr">
        <is>
          <t>Q50</t>
        </is>
      </c>
      <c r="B51" s="13" t="inlineStr">
        <is>
          <t>Forms, payment and notifications</t>
        </is>
      </c>
      <c r="C51" s="17" t="inlineStr">
        <is>
          <t>OWED</t>
        </is>
      </c>
      <c r="D51" s="12" t="inlineStr">
        <is>
          <t>D-05</t>
        </is>
      </c>
      <c r="E51" s="15" t="inlineStr">
        <is>
          <t>Notification templates and trigger mapping.</t>
        </is>
      </c>
      <c r="F51" s="13" t="inlineStr">
        <is>
          <t>1,236 SMS templates exist in a separate catalogue. Missing: which template fires at which journey step, to which recipient, in which language.</t>
        </is>
      </c>
      <c r="G51" s="16" t="inlineStr"/>
      <c r="H51" s="12" t="inlineStr"/>
    </row>
    <row r="52" ht="58" customHeight="1">
      <c r="A52" s="12" t="inlineStr">
        <is>
          <t>Q51</t>
        </is>
      </c>
      <c r="B52" s="13" t="inlineStr">
        <is>
          <t>Forms, payment and notifications</t>
        </is>
      </c>
      <c r="C52" s="14" t="inlineStr">
        <is>
          <t>GAP</t>
        </is>
      </c>
      <c r="D52" s="12" t="inlineStr"/>
      <c r="E52" s="15" t="inlineStr">
        <is>
          <t>How is email verification completed?</t>
        </is>
      </c>
      <c r="F52" s="13" t="inlineStr">
        <is>
          <t>Emails are captured unverified and verified asynchronously via callback before first bill generation. Open: the callback mechanism, retry policy, and whether an unverified email blocks anything.</t>
        </is>
      </c>
      <c r="G52" s="16" t="inlineStr">
        <is>
          <t>business-workshop-day2-session-2-postpaid-service-20260628-1-bf394204 [00:14:38]</t>
        </is>
      </c>
      <c r="H52" s="12" t="inlineStr"/>
    </row>
    <row r="53" ht="58" customHeight="1">
      <c r="A53" s="12" t="inlineStr">
        <is>
          <t>Q52</t>
        </is>
      </c>
      <c r="B53" s="13" t="inlineStr">
        <is>
          <t>Field-level specification</t>
        </is>
      </c>
      <c r="C53" s="17" t="inlineStr">
        <is>
          <t>OWED</t>
        </is>
      </c>
      <c r="D53" s="12" t="inlineStr">
        <is>
          <t>D-01</t>
        </is>
      </c>
      <c r="E53" s="15" t="inlineStr">
        <is>
          <t>Field-level specification gaps</t>
        </is>
      </c>
      <c r="F53" s="13" t="inlineStr">
        <is>
          <t>- exact definitions for the 86 data fields (DF-xx): data types, lengths, and validation rules. This is the root cause of several items above.</t>
        </is>
      </c>
      <c r="G53" s="16" t="inlineStr"/>
      <c r="H53" s="12" t="inlineStr"/>
    </row>
    <row r="54" ht="58" customHeight="1">
      <c r="A54" s="12" t="inlineStr">
        <is>
          <t>Q53</t>
        </is>
      </c>
      <c r="B54" s="13" t="inlineStr">
        <is>
          <t>Field-level specification</t>
        </is>
      </c>
      <c r="C54" s="14" t="inlineStr">
        <is>
          <t>GAP</t>
        </is>
      </c>
      <c r="D54" s="12" t="inlineStr"/>
      <c r="E54" s="15" t="inlineStr">
        <is>
          <t>Cross-field validation logic.</t>
        </is>
      </c>
      <c r="F54" s="13" t="inlineStr">
        <is>
          <t>The contact validation rules list 40 error messages with no rule IDs and no field-to-message mapping. Messages like "Date of Birth and Qatari ID do not match" imply a cross-check whose logic is not described.</t>
        </is>
      </c>
      <c r="G54" s="16" t="inlineStr">
        <is>
          <t>contact-validation-business-rules-b5d58c84</t>
        </is>
      </c>
      <c r="H54" s="12" t="inlineStr"/>
    </row>
    <row r="55" ht="58" customHeight="1">
      <c r="A55" s="12" t="inlineStr">
        <is>
          <t>Q54</t>
        </is>
      </c>
      <c r="B55" s="13" t="inlineStr">
        <is>
          <t>Field-level specification</t>
        </is>
      </c>
      <c r="C55" s="14" t="inlineStr">
        <is>
          <t>GAP</t>
        </is>
      </c>
      <c r="D55" s="12" t="inlineStr"/>
      <c r="E55" s="15" t="inlineStr">
        <is>
          <t>Order validation trigger conditions.</t>
        </is>
      </c>
      <c r="F55" s="13" t="inlineStr">
        <is>
          <t>~169 order validation rules are catalogued in terse form. ORD_VALD_RULE_005 ("for a business account, a pending order cannot be submitted if an open order exists") does not define "open".</t>
        </is>
      </c>
      <c r="G55" s="16" t="inlineStr">
        <is>
          <t>order-validation-business-rules-45d0e9f0</t>
        </is>
      </c>
      <c r="H55" s="12" t="inlineStr"/>
    </row>
    <row r="56" ht="58" customHeight="1">
      <c r="A56" s="12" t="inlineStr">
        <is>
          <t>Q55</t>
        </is>
      </c>
      <c r="B56" s="13" t="inlineStr">
        <is>
          <t>Field-level specification</t>
        </is>
      </c>
      <c r="C56" s="14" t="inlineStr">
        <is>
          <t>GAP</t>
        </is>
      </c>
      <c r="D56" s="12" t="inlineStr"/>
      <c r="E56" s="15" t="inlineStr">
        <is>
          <t>What is captured when a customer has no Qatar mobile number?</t>
        </is>
      </c>
      <c r="F56" s="13" t="inlineStr">
        <is>
          <t>The alternate contact number is now validated as +974 plus exactly 8 digits, per the documented rule (FLD-352, "must be a local mobile number", repeated across 5+ journeys) and per direction on 2026-09-26. An earlier override accepted any international number on the grounds that an expat, GCC or diplomatic customer may only have a foreign number on file; that override has been removed, so the open question is what the counter does in exactly that case. The field is mandatory and gates the Contact step of all four journeys that share it, so today the answer is that the journey stops.</t>
        </is>
      </c>
      <c r="G56" s="16" t="inlineStr"/>
      <c r="H56" s="12" t="inlineStr"/>
    </row>
    <row r="57" ht="58" customHeight="1">
      <c r="A57" s="12" t="inlineStr">
        <is>
          <t>Q56</t>
        </is>
      </c>
      <c r="B57" s="13" t="inlineStr">
        <is>
          <t>Field-level specification</t>
        </is>
      </c>
      <c r="C57" s="14" t="inlineStr">
        <is>
          <t>GAP</t>
        </is>
      </c>
      <c r="D57" s="12" t="inlineStr"/>
      <c r="E57" s="15" t="inlineStr">
        <is>
          <t>Is gender available from the MOI registry?</t>
        </is>
      </c>
      <c r="F57" s="13" t="inlineStr">
        <is>
          <t>The app makes it mandatory and read-only, sourced from MOI. A mandatory read-only field with no registry source can never be satisfied, so this depends on MOI actually returning it.</t>
        </is>
      </c>
      <c r="G57" s="16" t="inlineStr"/>
      <c r="H57" s="12" t="inlineStr"/>
    </row>
    <row r="58" ht="58" customHeight="1">
      <c r="A58" s="12" t="inlineStr">
        <is>
          <t>Q57</t>
        </is>
      </c>
      <c r="B58" s="13" t="inlineStr">
        <is>
          <t>Billing profile data references</t>
        </is>
      </c>
      <c r="C58" s="17" t="inlineStr">
        <is>
          <t>OWED</t>
        </is>
      </c>
      <c r="D58" s="12" t="inlineStr">
        <is>
          <t>Annex_01</t>
        </is>
      </c>
      <c r="E58" s="15" t="inlineStr">
        <is>
          <t>BRSD v3.1 Section 2.13 leaves Data Ref DR-01..07 undefined in Annex_01.</t>
        </is>
      </c>
      <c r="F58" s="13" t="inlineStr">
        <is>
          <t>Affects billing profiles, in-platform balances, service usage, bills, call detail records and customer communications - 11+ datasets carry placeholder shapes "pending VFQ Business confirmation". Any postpaid billing, charge calculation or usage-based credit tiering is unverifiable until this is filled in.</t>
        </is>
      </c>
      <c r="G58" s="16" t="inlineStr"/>
      <c r="H58" s="12" t="inlineStr"/>
    </row>
    <row r="59" ht="58" customHeight="1">
      <c r="A59" s="12" t="inlineStr">
        <is>
          <t>Q58</t>
        </is>
      </c>
      <c r="B59" s="13" t="inlineStr">
        <is>
          <t>Billing profile data references</t>
        </is>
      </c>
      <c r="C59" s="14" t="inlineStr">
        <is>
          <t>GAP</t>
        </is>
      </c>
      <c r="D59" s="12" t="inlineStr"/>
      <c r="E59" s="15" t="inlineStr">
        <is>
          <t>What billing-cycle day does a brand-new postpaid connection get assigned?</t>
        </is>
      </c>
      <c r="F59" s="13" t="inlineStr">
        <is>
          <t>Four independent CAF/guided-journey documents agree on the SHAPE of a first invoice - "your first month's charges will be prorated, plus the full charge of your plan for the following month" - but none gives the rule for which day of the month a new activation's cycle starts on. billing-profiles.json shows every value from 1 to 12 across four existing accounts, with no pattern tying a value to how or when that account was opened, and this journey creates no billing profile of its own to inherit one from. The app defaults new activations to a 1st-of-month cycle boundary so the first-bill figure it shows the agent is a real, computed number rather than an unlabelled placeholder - logged in src/engines/postpaidPricing.ts (firstBillCharges) as an assumption, not a business rule.</t>
        </is>
      </c>
      <c r="G59" s="16" t="inlineStr"/>
      <c r="H59" s="12" t="inlineStr"/>
    </row>
    <row r="61">
      <c r="A61" s="6" t="inlineStr">
        <is>
          <t>Status: OWED = already logged as a formal dependency in the Mobile Postpaid Activation BRSD v2.0, so VFQ has committed to supply it; chase, do not re-ask. GAP = found while building the journey and not on anyone list - the app carries an assumption today, named in the source file cited. Priority column is populated only for the areas on the Priority Shortlist sheet; blank means unranked, not unimportant.</t>
        </is>
      </c>
    </row>
    <row r="62"/>
    <row r="63"/>
  </sheetData>
  <autoFilter ref="A1:H59"/>
  <mergeCells count="1">
    <mergeCell ref="A61:H6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7" customWidth="1" min="1" max="1"/>
    <col width="62" customWidth="1" min="2" max="2"/>
    <col width="62" customWidth="1" min="3" max="3"/>
  </cols>
  <sheetData>
    <row r="1" ht="30" customHeight="1">
      <c r="A1" s="8" t="inlineStr">
        <is>
          <t>Rank</t>
        </is>
      </c>
      <c r="B1" s="8" t="inlineStr">
        <is>
          <t>Ask this first</t>
        </is>
      </c>
      <c r="C1" s="8" t="inlineStr">
        <is>
          <t>Why it leads</t>
        </is>
      </c>
    </row>
    <row r="2" ht="44" customHeight="1">
      <c r="A2" s="10" t="n">
        <v>1</v>
      </c>
      <c r="B2" s="15" t="inlineStr">
        <is>
          <t>The QID-mandatory exception, and whether Diplomatic ID is in or out (S1).</t>
        </is>
      </c>
      <c r="C2" s="13" t="inlineStr">
        <is>
          <t>Defines addressable customers.</t>
        </is>
      </c>
    </row>
    <row r="3" ht="44" customHeight="1">
      <c r="A3" s="10" t="n">
        <v>2</v>
      </c>
      <c r="B3" s="15" t="inlineStr">
        <is>
          <t>CBM approval - triggers, scope, SLA, reject semantics (S4).</t>
        </is>
      </c>
      <c r="C3" s="13" t="inlineStr">
        <is>
          <t>An entire downstream workflow with no specification.</t>
        </is>
      </c>
    </row>
    <row r="4" ht="44" customHeight="1">
      <c r="A4" s="10" t="n">
        <v>3</v>
      </c>
      <c r="B4" s="15" t="inlineStr">
        <is>
          <t>Credit limit boundaries and the agent-selection control (S3).</t>
        </is>
      </c>
      <c r="C4" s="13" t="inlineStr">
        <is>
          <t>Carries a named financial risk.</t>
        </is>
      </c>
    </row>
    <row r="5" ht="44" customHeight="1">
      <c r="A5" s="10" t="n">
        <v>4</v>
      </c>
      <c r="B5" s="15" t="inlineStr">
        <is>
          <t>HRN advance matrix D-08 and collections thresholds D-07 (S3).</t>
        </is>
      </c>
      <c r="C5" s="13" t="inlineStr">
        <is>
          <t>Already owed; both gate eligibility.</t>
        </is>
      </c>
    </row>
    <row r="6" ht="44" customHeight="1">
      <c r="A6" s="10" t="n">
        <v>5</v>
      </c>
      <c r="B6" s="15" t="inlineStr">
        <is>
          <t>Role privilege matrix MPAR_001_JSM_02 (S4).</t>
        </is>
      </c>
      <c r="C6" s="13" t="inlineStr">
        <is>
          <t>Blocks approval, override and credit-setting design.</t>
        </is>
      </c>
    </row>
    <row r="7" ht="44" customHeight="1">
      <c r="A7" s="10" t="n">
        <v>6</v>
      </c>
      <c r="B7" s="15" t="inlineStr">
        <is>
          <t>Star-number entitlement formula D-02 (S5).</t>
        </is>
      </c>
      <c r="C7" s="13" t="inlineStr">
        <is>
          <t>Blocks pricing at point of sale.</t>
        </is>
      </c>
    </row>
    <row r="8" ht="44" customHeight="1">
      <c r="A8" s="10" t="n">
        <v>7</v>
      </c>
      <c r="B8" s="15" t="inlineStr">
        <is>
          <t>DOI - in-journey or separate, manual or automated (S6).</t>
        </is>
      </c>
      <c r="C8" s="13" t="inlineStr">
        <is>
          <t>Decides whether step 6 belongs in this wizard at all.</t>
        </is>
      </c>
    </row>
    <row r="9" ht="44" customHeight="1">
      <c r="A9" s="10" t="n">
        <v>8</v>
      </c>
      <c r="B9" s="15" t="inlineStr">
        <is>
          <t>ZSB mandatory for mobile - manual versus workshop (S8).</t>
        </is>
      </c>
      <c r="C9" s="13" t="inlineStr">
        <is>
          <t>A documented contradiction with a blocking-versus-advisory outcome.</t>
        </is>
      </c>
    </row>
    <row r="11">
      <c r="A11" s="6" t="inlineStr">
        <is>
          <t>Ranked by how much of the journey is blocked behind the answer, not by how hard the question is to ask. The (Sn) marker is the Open Questions area it belongs to.</t>
        </is>
      </c>
    </row>
    <row r="12"/>
  </sheetData>
  <mergeCells count="1">
    <mergeCell ref="A11:C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7" customWidth="1" min="1" max="1"/>
    <col width="118" customWidth="1" min="2" max="2"/>
  </cols>
  <sheetData>
    <row r="1" ht="30" customHeight="1">
      <c r="A1" s="8" t="inlineStr">
        <is>
          <t>#</t>
        </is>
      </c>
      <c r="B1" s="8" t="inlineStr">
        <is>
          <t>Request this document or outcome, not an answer</t>
        </is>
      </c>
    </row>
    <row r="2" ht="44" customHeight="1">
      <c r="A2" s="10" t="n">
        <v>1</v>
      </c>
      <c r="B2" s="13" t="inlineStr">
        <is>
          <t>The raw recording or facilitator notes for Business Workshop Day 5 Session 1 (only ~29 of 186 minutes decoded). Customer verification, QID scanning rules and the security-question model were on that agenda.</t>
        </is>
      </c>
    </row>
    <row r="3" ht="44" customHeight="1">
      <c r="A3" s="10" t="n">
        <v>2</v>
      </c>
      <c r="B3" s="13" t="inlineStr">
        <is>
          <t>The outcome of the DOI automation action assigned to Hisham.</t>
        </is>
      </c>
    </row>
    <row r="4" ht="44" customHeight="1">
      <c r="A4" s="10" t="n">
        <v>3</v>
      </c>
      <c r="B4" s="13" t="inlineStr">
        <is>
          <t>The outcome of the MOI national address service action assigned to Vishal.</t>
        </is>
      </c>
    </row>
    <row r="5" ht="44" customHeight="1">
      <c r="A5" s="10" t="n">
        <v>4</v>
      </c>
      <c r="B5" s="13" t="inlineStr">
        <is>
          <t>The completed Annex_01 for BRSD v3.1 Section 2.13 (DR-01..07).</t>
        </is>
      </c>
    </row>
    <row r="7">
      <c r="A7" s="6" t="inlineStr">
        <is>
          <t>These are not questions a stakeholder can answer in a meeting - they are existing artefacts or recorded action outcomes that someone already holds.</t>
        </is>
      </c>
    </row>
    <row r="8"/>
  </sheetData>
  <mergeCells count="1">
    <mergeCell ref="A7:B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2026-09-26T20:08:06Z</dcterms:created>
  <dcterms:modified xmlns:dcterms="http://purl.org/dc/terms/" xmlns:xsi="http://www.w3.org/2001/XMLSchema-instance" xsi:type="dcterms:W3CDTF">2026-09-26T20:08:06Z</dcterms:modified>
</cp:coreProperties>
</file>