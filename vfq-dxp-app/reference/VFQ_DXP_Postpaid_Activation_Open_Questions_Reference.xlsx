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parithimalsaravanan/claude-projects/vfq/vfq-dxp-app/reference/"/>
    </mc:Choice>
  </mc:AlternateContent>
  <xr:revisionPtr revIDLastSave="0" documentId="13_ncr:1_{B4316A89-1A73-D34C-86DE-DCC84C00883E}" xr6:coauthVersionLast="47" xr6:coauthVersionMax="47" xr10:uidLastSave="{00000000-0000-0000-0000-000000000000}"/>
  <bookViews>
    <workbookView xWindow="0" yWindow="660" windowWidth="34560" windowHeight="21680" activeTab="1" xr2:uid="{00000000-000D-0000-FFFF-FFFF00000000}"/>
  </bookViews>
  <sheets>
    <sheet name="Read Me" sheetId="1" r:id="rId1"/>
    <sheet name="Open Questions" sheetId="2" r:id="rId2"/>
    <sheet name="Priority Shortlist" sheetId="3" r:id="rId3"/>
    <sheet name="Artefacts to Request" sheetId="4" r:id="rId4"/>
  </sheets>
  <definedNames>
    <definedName name="_xlnm._FilterDatabase" localSheetId="1" hidden="1">'Open Questions'!$A$1:$H$58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 l="1"/>
  <c r="B35" i="1"/>
  <c r="C34" i="1"/>
  <c r="B34" i="1"/>
  <c r="C33" i="1"/>
  <c r="B33" i="1"/>
  <c r="C32" i="1"/>
  <c r="B32" i="1"/>
  <c r="C31" i="1"/>
  <c r="B31" i="1"/>
  <c r="C30" i="1"/>
  <c r="B30" i="1"/>
  <c r="C29" i="1"/>
  <c r="B29" i="1"/>
  <c r="C28" i="1"/>
  <c r="B28" i="1"/>
  <c r="C27" i="1"/>
  <c r="B27" i="1"/>
  <c r="C26" i="1"/>
  <c r="B26" i="1"/>
  <c r="C25" i="1"/>
  <c r="B25" i="1"/>
  <c r="B21" i="1"/>
  <c r="B20" i="1"/>
  <c r="B19" i="1"/>
  <c r="B18" i="1"/>
  <c r="B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generator</author>
  </authors>
  <commentList>
    <comment ref="B20" authorId="0" shapeId="0" xr:uid="{00000000-0006-0000-0000-000001000000}">
      <text>
        <r>
          <rPr>
            <sz val="11"/>
            <color theme="1"/>
            <rFont val="Calibri"/>
            <family val="2"/>
            <scheme val="minor"/>
          </rPr>
          <t>Counted with SUMPRODUCT/COUNTIF rather than a distinct-count function so the workbook evaluates identically in Excel, LibreOffice and Numbers.</t>
        </r>
      </text>
    </comment>
  </commentList>
</comments>
</file>

<file path=xl/sharedStrings.xml><?xml version="1.0" encoding="utf-8"?>
<sst xmlns="http://schemas.openxmlformats.org/spreadsheetml/2006/main" count="383" uniqueCount="269">
  <si>
    <t>New Postpaid Activation</t>
  </si>
  <si>
    <t>Open questions for VFQ business stakeholders</t>
  </si>
  <si>
    <t>Generated by</t>
  </si>
  <si>
    <t>reference/scripts/build_postpaid_open_questions.py</t>
  </si>
  <si>
    <t>Source of record</t>
  </si>
  <si>
    <t>VFQ_DXP_Postpaid_Activation_Open_Questions_Reference.md</t>
  </si>
  <si>
    <t>Journey scope</t>
  </si>
  <si>
    <t>src/modules/mobile-postpaid/screens/NewPostpaidWizard.tsx (11 steps)</t>
  </si>
  <si>
    <t>Checked against</t>
  </si>
  <si>
    <t>reference/.knowledge/ (83 indexed source documents)</t>
  </si>
  <si>
    <t>Related artefacts</t>
  </si>
  <si>
    <t>reference/blueprint/conflict-report.md (corpus conflicts, broader scope); reference/.knowledge/INDEX.md (source confidence)</t>
  </si>
  <si>
    <t>This workbook is generated. Do not hand-edit.</t>
  </si>
  <si>
    <t>Edit the markdown and re-run the script. Opening this file in Excel and saving it will silently rewrite it, and the next regeneration will discard the change. Every question, status, citation and ranking below is parsed out of the markdown - nothing is typed into the script.</t>
  </si>
  <si>
    <t>Counts</t>
  </si>
  <si>
    <t>Measure</t>
  </si>
  <si>
    <t>Count</t>
  </si>
  <si>
    <t>Meaning</t>
  </si>
  <si>
    <t>Open questions total</t>
  </si>
  <si>
    <t>One row per question on the Open Questions sheet.</t>
  </si>
  <si>
    <t>OWED - already committed</t>
  </si>
  <si>
    <t>Logged as a BRSD v2.0 dependency. Chase the owner rather than re-asking.</t>
  </si>
  <si>
    <t>GAP - not yet logged</t>
  </si>
  <si>
    <t>Found while building. The app carries an assumption today.</t>
  </si>
  <si>
    <t>Areas covered</t>
  </si>
  <si>
    <t>Distinct values in the Area column, counted without a helper range.</t>
  </si>
  <si>
    <t>Questions in a priority area</t>
  </si>
  <si>
    <t>Not individually ranked - these sit in one of the 8 areas on the Priority Shortlist sheet.</t>
  </si>
  <si>
    <t>By area</t>
  </si>
  <si>
    <t>Area</t>
  </si>
  <si>
    <t>Questions</t>
  </si>
  <si>
    <t>Of which OWED</t>
  </si>
  <si>
    <t>Identification and KYC</t>
  </si>
  <si>
    <t>Eligibility and line caps</t>
  </si>
  <si>
    <t>Credit control, HRN and deposits</t>
  </si>
  <si>
    <t>CBM approval workflow</t>
  </si>
  <si>
    <t>Number selection</t>
  </si>
  <si>
    <t>Device on Installment (DOI)</t>
  </si>
  <si>
    <t>SIM, eSIM and provisioning</t>
  </si>
  <si>
    <t>Address capture</t>
  </si>
  <si>
    <t>Forms, payment and notifications</t>
  </si>
  <si>
    <t>Field-level specification</t>
  </si>
  <si>
    <t>Billing profile data references</t>
  </si>
  <si>
    <t>ID</t>
  </si>
  <si>
    <t>Status</t>
  </si>
  <si>
    <t>Committed as</t>
  </si>
  <si>
    <t>Question</t>
  </si>
  <si>
    <t>What is known / why it matters</t>
  </si>
  <si>
    <t>Priority area</t>
  </si>
  <si>
    <t>Q01</t>
  </si>
  <si>
    <t>GAP</t>
  </si>
  <si>
    <t>What is the "one unspecified exception" to the QID-mandatory rule?</t>
  </si>
  <si>
    <t>The foundational rule is confirmed: postpaid cannot be sold against any ID type other than QID, "with one unspecified exception to be discussed later". That discussion is not in the corpus. This is the single highest-value open question in the journey, because it defines who can be sold to at all.</t>
  </si>
  <si>
    <t>business-workshop-session-1-postpaid-service-20260625-124533-4b09c0db [00:25:18]</t>
  </si>
  <si>
    <t>Q02</t>
  </si>
  <si>
    <t>Is Diplomatic ID inside or outside that rule?</t>
  </si>
  <si>
    <t>The app currently sells directly against QID or Diplomatic ID, and routes Passport / GCC ID / other exception documents to CBM approval. The QID-mandatory rule as written would exclude Diplomatic ID too. Needs an explicit yes/no.</t>
  </si>
  <si>
    <t>Q03</t>
  </si>
  <si>
    <t>What is the ID expiry policy?</t>
  </si>
  <si>
    <t>No source document states one, and the source dataset carried no expiry field at all. Open: is an expired document a hard stop or a correctable warning? Is there a minimum remaining validity (e.g. must not expire within the contract term)? What about a document with no expiry recorded?</t>
  </si>
  <si>
    <t>Q04</t>
  </si>
  <si>
    <t>How many scan attempts before the agent may key the number manually?</t>
  </si>
  <si>
    <t>The app allows four, taken from a reference screenshot showing "Scan Attempts: 0 / 4". No business rule states it. Also open: after four failures, is manual entry actually permitted, or must the customer be turned away?</t>
  </si>
  <si>
    <t>Q05</t>
  </si>
  <si>
    <t>What does MOI return, and what is authoritative?</t>
  </si>
  <si>
    <t>The workshop mentions "up to 5-6 name fields". The app splits a single name on whitespace into First / Last, which is a guess. Open: the real field list, and which MOI-sourced fields the agent may override.</t>
  </si>
  <si>
    <t>Q06</t>
  </si>
  <si>
    <t>Is the MOI national address service available?</t>
  </si>
  <si>
    <t>Logged as an action item ("Vishal to enable") with no recorded outcome.</t>
  </si>
  <si>
    <t>business-workshop-session-1-postpaid-service-20260625-124533-4b09c0db [00:32:41]</t>
  </si>
  <si>
    <t>Q07</t>
  </si>
  <si>
    <t>Does IDWise OCR support Arabic?</t>
  </si>
  <si>
    <t>Raised as an open question in workshop and never answered. Also open: behaviour on a damaged or worn card, and timeout handling.</t>
  </si>
  <si>
    <t>business-workshop-day2-session-2-postpaid-service-20260628-1-bf394204 [00:51:24]</t>
  </si>
  <si>
    <t>Q08</t>
  </si>
  <si>
    <t>Security questions / customer verification model.</t>
  </si>
  <si>
    <t>The workshop session that covered this is materially incomplete - only ~29 of 186 minutes decoded. Whatever was agreed about the security-question model and KYC verification procedure exists only in the facilitators' own notes or the raw recording.</t>
  </si>
  <si>
    <t>business-workshop-day5-session-1-postpaid-service-20260701-0-a55f2808 (medium confidence)</t>
  </si>
  <si>
    <t>Q09</t>
  </si>
  <si>
    <t>What exactly does each eligibility check query?</t>
  </si>
  <si>
    <t>The journey runs seven checks (ID validity, age, ID type, collections, security, deals, active lines). The corpus names them but never says which system answers each one (BRM? Collections? a blacklist DB?), whether they run in sequence or parallel, what the timeout is, or what the agent should do when a check system is unavailable.</t>
  </si>
  <si>
    <t>order-validation-business-rules-45d0e9f0</t>
  </si>
  <si>
    <t>Q10</t>
  </si>
  <si>
    <t>Is the minimum age 18?</t>
  </si>
  <si>
    <t>The app assumes it. No source states an age.</t>
  </si>
  <si>
    <t>Q11</t>
  </si>
  <si>
    <t>Is the 5-line cap for non-nationals per operator or across all Qatari operators?</t>
  </si>
  <si>
    <t>"Per operator" is stated but not defined. If it is market-wide, the check cannot be answered from VFQ data alone.</t>
  </si>
  <si>
    <t>business-workshop-session-1-postpaid-service-20260625-124533-4b09c0db [00:53:54-00:58:37]</t>
  </si>
  <si>
    <t>Q12</t>
  </si>
  <si>
    <t>At which step is the line-cap check performed - Contact, Plan or Submit, and what exact wording does the agent see?</t>
  </si>
  <si>
    <t>Q13</t>
  </si>
  <si>
    <t>What is the "authorized officer" override?</t>
  </si>
  <si>
    <t>The cap is overridable by an authorized-officer flag on the account. Open: who holds that role, how the flag is set, and whether it is an in-journey action or a prerequisite.</t>
  </si>
  <si>
    <t>Q14</t>
  </si>
  <si>
    <t>Does the blacklist category change the outcome?</t>
  </si>
  <si>
    <t>The app distinguishes a collections listing (soft stop, prepaid still offerable) from a security listing (hard stop, nothing offerable). That distinction is an inference. Open: the real category list and the disposition for each.</t>
  </si>
  <si>
    <t>Q15</t>
  </si>
  <si>
    <t>Which commitment-penalty states block a new connection?</t>
  </si>
  <si>
    <t>The source data has no field for this. Open: does a *pending* penalty block, or only an applied one? Does it block all new connections or only same-product ones?</t>
  </si>
  <si>
    <t>Q16</t>
  </si>
  <si>
    <t>Do barring states affect new-connection eligibility?</t>
  </si>
  <si>
    <t>Barring status/type/reason are placeholders throughout - BRSD v3.1 Section 2.13 leaves their Data Ref (DR-01..07) undefined in Annex_01. Open: the valid states, and whether an existing barred line blocks a new sale.</t>
  </si>
  <si>
    <t>Q17</t>
  </si>
  <si>
    <t>OWED</t>
  </si>
  <si>
    <t>D-08</t>
  </si>
  <si>
    <t>The full HRN advance payment matrix.</t>
  </si>
  <si>
    <t>Q18</t>
  </si>
  <si>
    <t>D-07</t>
  </si>
  <si>
    <t>Collections outstanding-dues thresholds.</t>
  </si>
  <si>
    <t>Known: a billing profile enters collections once overdue exceeds 100. Missing: whether 100 QAR is fixed or configurable, whether it applies uniformly across segments, and the precise definition of "overdue" versus "outstanding".</t>
  </si>
  <si>
    <t>Q19</t>
  </si>
  <si>
    <t>Is the collections threshold the same for mobile as for fibre?</t>
  </si>
  <si>
    <t>The Fibre BRSD's own open-items log (OI-04) records an unresolved dispute on exactly this - one side says the threshold should differ by product, the other says it should be uniform. No value is agreed anywhere.</t>
  </si>
  <si>
    <t>vfq-fibre-brsd-v1-2-068eebe3 [OI-04]</t>
  </si>
  <si>
    <t>Q20</t>
  </si>
  <si>
    <t>What is the default credit limit for a Qatari national?</t>
  </si>
  <si>
    <t>Known: 1,000 QAR for an expat on a new account, 50 QAR for HRN. The Qatari default is never stated, and it is unclear whether other nationality segments exist.</t>
  </si>
  <si>
    <t>business-workshop-day5-session-2-postpaid-service-20260701-1-d62f0cd4 [00:59:40]</t>
  </si>
  <si>
    <t>Q21</t>
  </si>
  <si>
    <t>What are the credit-limit boundaries an agent may select within?</t>
  </si>
  <si>
    <t>The workshop records that there is "no system restriction today preventing any agent from selecting any credit limit value", flagged as an "uncontrolled credit exposure" risk. Modernization has to define the control. Open: the permitted range per segment, and whether an out-of-range value routes to approval or is simply refused.</t>
  </si>
  <si>
    <t>business-workshop-day5-session-2-postpaid-service-20260701-1-d62f0cd4 [01:00:21]</t>
  </si>
  <si>
    <t>Q22</t>
  </si>
  <si>
    <t>Is a deposit required, and how does it interact with the credit limit?</t>
  </si>
  <si>
    <t>BR-270 requires "a minimum deposit of QR 2,000 or a valid credit card on file" to establish a postpaid credit limit; the Consumer Postpaid CAF also mentions QR 2,000. Open: when this applies, whether it is collected in this journey, and how it relates to the HRN advance. Note the old deposit-for-increase process was discontinued because there was no refund mechanism when customers disconnected - so a refund policy is needed before reintroducing it.</t>
  </si>
  <si>
    <t>Q23</t>
  </si>
  <si>
    <t>What is the bill limit ("spend limit") Agent Minimum, currently?</t>
  </si>
  <si>
    <t>The corpus gives three data points for the same product: Bill Limit Mobile Plus at 75 in two journeys and 80 in a third, described as "Agent Min raised to 80". Bill Limit Mobile is 50 throughout. This looks like per-promotion configuration that changed over time rather than a contradiction - but the authoritative current mapping of promotion to Agent Minimum is not in the corpus. Enforced at Validate with Siebel error SBL-EXL-00151.</t>
  </si>
  <si>
    <t>guided-journeys-postpaid-open-ui-desktop-new-postpaid-f8227f90, guided-journeys-mnp-postpaid-open-ui-desktop-mnp-postpaid-6cb03f33, guided-journeys-pre-to-post-desktop-vanilla-pre-to-post-6d6b61ce</t>
  </si>
  <si>
    <t>Q24</t>
  </si>
  <si>
    <t>What conditions route an order to CBM approval rather than auto-completing?</t>
  </si>
  <si>
    <t>The app routes on B2B2C and on the HRN/credit-limit variant (BR-268, UJ-081). Open: whether high credit limits, pre-existing connections, exception ID types, or device installments also trigger it.</t>
  </si>
  <si>
    <t>Q25</t>
  </si>
  <si>
    <t>What does the CBM approver actually validate, and against which systems?</t>
  </si>
  <si>
    <t>Q26</t>
  </si>
  <si>
    <t>Can CBM modify order details before approving, or only approve and reject?</t>
  </si>
  <si>
    <t>Q27</t>
  </si>
  <si>
    <t>What is the SLA for an approval decision, and what does the agent or customer see while waiting?</t>
  </si>
  <si>
    <t>Q28</t>
  </si>
  <si>
    <t>What is the difference between "Reject - Correction" and "Reject - Drop Order"?</t>
  </si>
  <si>
    <t>Both appear in the UI. Whether the first returns an editable order to the originating agent is assumed, not documented.</t>
  </si>
  <si>
    <t>Q29</t>
  </si>
  <si>
    <t>MPAR_001_JSM_02</t>
  </si>
  <si>
    <t>The agent role privilege matrix</t>
  </si>
  <si>
    <t>is listed as TBD in the BRSD and never populated. This determines who can approve, who can override a cap, and who can set a credit limit.</t>
  </si>
  <si>
    <t>Q30</t>
  </si>
  <si>
    <t>D-02</t>
  </si>
  <si>
    <t>The plan-price to star-number-price eligibility matrix.</t>
  </si>
  <si>
    <t>Known only as an approximation: "a 200 Riyal plan entitles ~5,000 Riyal worth of star number", with the customer paying the delta at point of sale. Missing: the exact formula or lookup table, the exceptions by product, and how the delta is calculated and charged.</t>
  </si>
  <si>
    <t>business-workshop-session-1-postpaid-service-20260625-124533-4b09c0db [01:20:26]</t>
  </si>
  <si>
    <t>Q31</t>
  </si>
  <si>
    <t>What determines which numbers an agent sees?</t>
  </si>
  <si>
    <t>BR-756 says numbers are auto-selected for fixed and prepaid (zero-rated) but not for mobile postpaid "since those numbers carry a price" - yet nothing in the number inventory distinguishes zero-rated from priced. Open: the filter and visibility logic for the postpaid picker.</t>
  </si>
  <si>
    <t>Q32</t>
  </si>
  <si>
    <t>How long is a reserved number held before auto-release?</t>
  </si>
  <si>
    <t>Q33</t>
  </si>
  <si>
    <t>What is the star-number tier and pricing structure?</t>
  </si>
  <si>
    <t>The app seeds Gold / Silver / Platinum tiers priced by pattern strength. That model is invented; only a single Gold number at 500 QAR was evidenced.</t>
  </si>
  <si>
    <t>Q34</t>
  </si>
  <si>
    <t>Who reserves a number, and on what authority?</t>
  </si>
  <si>
    <t>The Number Management Portal is in scope per Day 5 Session 2, but the agent-facing workflow is not described.</t>
  </si>
  <si>
    <t>Q35</t>
  </si>
  <si>
    <t>Can DOI be sold inside a new postpaid activation, or only afterwards?</t>
  </si>
  <si>
    <t>Day 1 explicitly deferred DOI; Day 5 discussed it as a separate journey. The app includes it as step 6 of the activation. This needs confirming either way.</t>
  </si>
  <si>
    <t>Q36</t>
  </si>
  <si>
    <t>Is DOI order submission manual or automated?</t>
  </si>
  <si>
    <t>Recorded as an unresolved disagreement between workshop participants, with a confirm action assigned to Hisham and no recorded outcome.</t>
  </si>
  <si>
    <t>business-workshop-day5-session-2-postpaid-service-20260701-1-d62f0cd4 [01:14:40]</t>
  </si>
  <si>
    <t>Q37</t>
  </si>
  <si>
    <t>What is the device affordability rule?</t>
  </si>
  <si>
    <t>The app gates device price at five times the credit limit. That multiplier is invented. Open: the real affordability test, if any.</t>
  </si>
  <si>
    <t>Q38</t>
  </si>
  <si>
    <t>What installment terms are offered?</t>
  </si>
  <si>
    <t>The app offers 6, 12 and 24 months. No source states the available terms, the interest or fee treatment, or eligibility by tenure.</t>
  </si>
  <si>
    <t>Q39</t>
  </si>
  <si>
    <t>What is the real eSIM provisioning flow?</t>
  </si>
  <si>
    <t>The app produces a GSMA SGP.22-shaped activation string against a mock SM-DP+; there is no integration contract in the corpus. Open: the provisioning call, the QR delivery mechanism, and the failure and retry path.</t>
  </si>
  <si>
    <t>Q40</t>
  </si>
  <si>
    <t>Can multi-SIM or companion devices (iWatch) be ordered during a new activation?</t>
  </si>
  <si>
    <t>Day 5 Session 2 says up to 4 per plan, but not when they can be ordered - at the point of sale or only by later modification.</t>
  </si>
  <si>
    <t>Q41</t>
  </si>
  <si>
    <t>What is the order state machine after submission?</t>
  </si>
  <si>
    <t>Fulfilment is explicitly out of scope for the Activation BRSD. Open: the provisioning SLA, the intermediate states, retry and failure handling, and whether an activation can be reversed once submitted.</t>
  </si>
  <si>
    <t>Q42</t>
  </si>
  <si>
    <t>Is ZSB address capture mandatory for a mobile postpaid sale?</t>
  </si>
  <si>
    <t>Directly contradictory evidence: the Consumer Activation Process Manual v8.0 says ZSB capture is mandatory in both the Prepaid (S2.1.15) and Postpaid (S3.1.12) sections, while the Day 7 stack-modernization workshop says it applies to FWA / fixed only. The app treats it as advisory and does not block. Tracked as BR-ZSB-MANDATORY-FOR-MOBILE in src/engines/ruleEngine.ts and as Conflict 2 in reference/blueprint/conflict-report.md.</t>
  </si>
  <si>
    <t>Q43</t>
  </si>
  <si>
    <t>Is a Kahramaa ID (KID) needed for a mobile line?</t>
  </si>
  <si>
    <t>The app treats it as optional for postpaid on the reasoning that a mobile line needs no serviceable premises, unlike fibre. That reasoning is ours, not the corpus's.</t>
  </si>
  <si>
    <t>Q44</t>
  </si>
  <si>
    <t>Are there address validation rules for mobile at all?</t>
  </si>
  <si>
    <t>KID and address validation are specified in detail for Fibre and absent for mobile.</t>
  </si>
  <si>
    <t>Q45</t>
  </si>
  <si>
    <t>D-03</t>
  </si>
  <si>
    <t>The CAF template routing matrix</t>
  </si>
  <si>
    <t>- which CAF variant applies to which channel, role and service type. Also needs resolving: the Consumer Postpaid CAF V4 and Consumer Prepaid CAF V2 are both stamped Form ID PCA001. Intentional shared ID, or a numbering error? (Also Conflict item 1 in reference/blueprint/conflict-report.md.)</t>
  </si>
  <si>
    <t>Q46</t>
  </si>
  <si>
    <t>Is the CAF ID-number binding used for postpaid?</t>
  </si>
  <si>
    <t>The evidenced behaviour - "CAF form dynamically binds Qatari ID/Passport number field" - is documented for prepaid subscribers only. The app omits it for postpaid rather than assume it.</t>
  </si>
  <si>
    <t>Q47</t>
  </si>
  <si>
    <t>Which CAF capture modes are real?</t>
  </si>
  <si>
    <t>The app offers Digital, Manual and Touch Screen. Not formally sourced.</t>
  </si>
  <si>
    <t>Q48</t>
  </si>
  <si>
    <t>The WinCash integration specification.</t>
  </si>
  <si>
    <t>WinCash is referenced 30+ times across the corpus with no API contract, field list, or error taxonomy. Open: the decline and retry semantics, and the payment reference format.</t>
  </si>
  <si>
    <t>Q49</t>
  </si>
  <si>
    <t>D-04</t>
  </si>
  <si>
    <t>The Qnomy MPI API specification</t>
  </si>
  <si>
    <t>- schema, plus the fallback logic and timeout behaviour when Qnomy is unavailable.</t>
  </si>
  <si>
    <t>Q50</t>
  </si>
  <si>
    <t>D-05</t>
  </si>
  <si>
    <t>Notification templates and trigger mapping.</t>
  </si>
  <si>
    <t>1,236 SMS templates exist in a separate catalogue. Missing: which template fires at which journey step, to which recipient, in which language.</t>
  </si>
  <si>
    <t>Q51</t>
  </si>
  <si>
    <t>How is email verification completed?</t>
  </si>
  <si>
    <t>Emails are captured unverified and verified asynchronously via callback before first bill generation. Open: the callback mechanism, retry policy, and whether an unverified email blocks anything.</t>
  </si>
  <si>
    <t>business-workshop-day2-session-2-postpaid-service-20260628-1-bf394204 [00:14:38]</t>
  </si>
  <si>
    <t>Q52</t>
  </si>
  <si>
    <t>D-01</t>
  </si>
  <si>
    <t>Field-level specification gaps</t>
  </si>
  <si>
    <t>- exact definitions for the 86 data fields (DF-xx): data types, lengths, and validation rules. This is the root cause of several items above.</t>
  </si>
  <si>
    <t>Q53</t>
  </si>
  <si>
    <t>Cross-field validation logic.</t>
  </si>
  <si>
    <t>The contact validation rules list 40 error messages with no rule IDs and no field-to-message mapping. Messages like "Date of Birth and Qatari ID do not match" imply a cross-check whose logic is not described.</t>
  </si>
  <si>
    <t>contact-validation-business-rules-b5d58c84</t>
  </si>
  <si>
    <t>Q54</t>
  </si>
  <si>
    <t>Order validation trigger conditions.</t>
  </si>
  <si>
    <t>~169 order validation rules are catalogued in terse form. ORD_VALD_RULE_005 ("for a business account, a pending order cannot be submitted if an open order exists") does not define "open".</t>
  </si>
  <si>
    <t>Q55</t>
  </si>
  <si>
    <t>Is the alternate contact number required to be a Qatar-local mobile?</t>
  </si>
  <si>
    <t>The documented rule (FLD-352) says it must be local. Product direction during the build was the opposite, on the grounds that an expat, GCC or diplomatic customer may only have a foreign number on file. The app follows the product direction. Worth confirming with the rule owner.</t>
  </si>
  <si>
    <t>Q56</t>
  </si>
  <si>
    <t>Is gender available from the MOI registry?</t>
  </si>
  <si>
    <t>The app makes it mandatory and read-only, sourced from MOI. A mandatory read-only field with no registry source can never be satisfied, so this depends on MOI actually returning it.</t>
  </si>
  <si>
    <t>Q57</t>
  </si>
  <si>
    <t>Annex_01</t>
  </si>
  <si>
    <t>BRSD v3.1 Section 2.13 leaves Data Ref DR-01..07 undefined in Annex_01.</t>
  </si>
  <si>
    <t>Affects billing profiles, in-platform balances, service usage, bills, call detail records and customer communications - 11+ datasets carry placeholder shapes "pending VFQ Business confirmation". Any postpaid billing, charge calculation or usage-based credit tiering is unverifiable until this is filled in.</t>
  </si>
  <si>
    <t>Rank</t>
  </si>
  <si>
    <t>Ask this first</t>
  </si>
  <si>
    <t>Why it leads</t>
  </si>
  <si>
    <t>The QID-mandatory exception, and whether Diplomatic ID is in or out (S1).</t>
  </si>
  <si>
    <t>Defines addressable customers.</t>
  </si>
  <si>
    <t>CBM approval - triggers, scope, SLA, reject semantics (S4).</t>
  </si>
  <si>
    <t>An entire downstream workflow with no specification.</t>
  </si>
  <si>
    <t>Credit limit boundaries and the agent-selection control (S3).</t>
  </si>
  <si>
    <t>Carries a named financial risk.</t>
  </si>
  <si>
    <t>HRN advance matrix D-08 and collections thresholds D-07 (S3).</t>
  </si>
  <si>
    <t>Already owed; both gate eligibility.</t>
  </si>
  <si>
    <t>Role privilege matrix MPAR_001_JSM_02 (S4).</t>
  </si>
  <si>
    <t>Blocks approval, override and credit-setting design.</t>
  </si>
  <si>
    <t>Star-number entitlement formula D-02 (S5).</t>
  </si>
  <si>
    <t>Blocks pricing at point of sale.</t>
  </si>
  <si>
    <t>DOI - in-journey or separate, manual or automated (S6).</t>
  </si>
  <si>
    <t>Decides whether step 6 belongs in this wizard at all.</t>
  </si>
  <si>
    <t>ZSB mandatory for mobile - manual versus workshop (S8).</t>
  </si>
  <si>
    <t>A documented contradiction with a blocking-versus-advisory outcome.</t>
  </si>
  <si>
    <t>Ranked by how much of the journey is blocked behind the answer, not by how hard the question is to ask. The (Sn) marker is the Open Questions area it belongs to.</t>
  </si>
  <si>
    <t>#</t>
  </si>
  <si>
    <t>Request this document or outcome, not an answer</t>
  </si>
  <si>
    <t>The raw recording or facilitator notes for Business Workshop Day 5 Session 1 (only ~29 of 186 minutes decoded). Customer verification, QID scanning rules and the security-question model were on that agenda.</t>
  </si>
  <si>
    <t>The outcome of the DOI automation action assigned to Hisham.</t>
  </si>
  <si>
    <t>The outcome of the MOI national address service action assigned to Vishal.</t>
  </si>
  <si>
    <t>The completed Annex_01 for BRSD v3.1 Section 2.13 (DR-01..07).</t>
  </si>
  <si>
    <t>These are not questions a stakeholder can answer in a meeting - they are existing artefacts or recorded action outcomes that someone already holds.</t>
  </si>
  <si>
    <t>Required Data</t>
  </si>
  <si>
    <t>The complete nationality list
the amount per nationality
Channel-specific variations
Whether activation is blocked if it is not paid.</t>
  </si>
  <si>
    <t xml:space="preserve">Known: Nepalese / HRN customers pay QR 100 in advance, driven by nationality and sales channel and explicitly not by plan value, adjusted against the first bill.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</si>
</sst>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2"/>
      <color rgb="FF555555"/>
      <name val="Tenorite Regular"/>
    </font>
    <font>
      <b/>
      <sz val="12"/>
      <color rgb="FFE60000"/>
      <name val="Tenorite Regular"/>
    </font>
    <font>
      <sz val="12"/>
      <color theme="1"/>
      <name val="Tenorite Regular"/>
    </font>
    <font>
      <b/>
      <sz val="12"/>
      <name val="Tenorite Regular"/>
    </font>
    <font>
      <sz val="12"/>
      <name val="Tenorite Regular"/>
    </font>
    <font>
      <i/>
      <sz val="12"/>
      <color rgb="FF555555"/>
      <name val="Tenorite Regular"/>
    </font>
    <font>
      <b/>
      <sz val="12"/>
      <color rgb="FFFFFFFF"/>
      <name val="Tenorite Regular"/>
    </font>
    <font>
      <sz val="12"/>
      <color rgb="FF333333"/>
      <name val="Tenorite Regular"/>
    </font>
  </fonts>
  <fills count="6">
    <fill>
      <patternFill patternType="none"/>
    </fill>
    <fill>
      <patternFill patternType="gray125"/>
    </fill>
    <fill>
      <patternFill patternType="solid">
        <fgColor rgb="FFE60000"/>
      </patternFill>
    </fill>
    <fill>
      <patternFill patternType="solid">
        <fgColor rgb="FFFFF3E0"/>
      </patternFill>
    </fill>
    <fill>
      <patternFill patternType="solid">
        <fgColor rgb="FFE3F2FD"/>
      </patternFill>
    </fill>
    <fill>
      <patternFill patternType="solid">
        <fgColor rgb="FFF4F4F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9">
    <xf numFmtId="0" fontId="0" fillId="0" borderId="0" xfId="0"/>
    <xf numFmtId="0" fontId="7" fillId="2" borderId="1" xfId="0" applyFont="1" applyFill="1" applyBorder="1" applyAlignment="1">
      <alignment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4" fillId="5" borderId="1" xfId="0" applyFont="1" applyFill="1" applyBorder="1" applyAlignment="1">
      <alignment vertical="center"/>
    </xf>
    <xf numFmtId="0" fontId="5" fillId="0" borderId="0" xfId="0" applyFont="1" applyAlignment="1">
      <alignment vertical="center" wrapText="1"/>
    </xf>
    <xf numFmtId="0" fontId="2" fillId="0" borderId="0" xfId="0" applyFont="1" applyAlignment="1">
      <alignment vertical="center"/>
    </xf>
    <xf numFmtId="0" fontId="6" fillId="0" borderId="0" xfId="0" applyFont="1" applyAlignment="1">
      <alignment vertical="center" wrapText="1"/>
    </xf>
    <xf numFmtId="0" fontId="5" fillId="0" borderId="1" xfId="0" applyFont="1" applyBorder="1" applyAlignment="1">
      <alignment vertical="center"/>
    </xf>
    <xf numFmtId="0" fontId="6"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8"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opLeftCell="A19" zoomScale="140" zoomScaleNormal="140" workbookViewId="0">
      <selection activeCell="C54" sqref="C54"/>
    </sheetView>
  </sheetViews>
  <sheetFormatPr baseColWidth="10" defaultColWidth="8.83203125" defaultRowHeight="16"/>
  <cols>
    <col min="1" max="1" width="34" style="8" customWidth="1"/>
    <col min="2" max="2" width="14" style="8" customWidth="1"/>
    <col min="3" max="3" width="76" style="8" customWidth="1"/>
    <col min="4" max="16384" width="8.83203125" style="8"/>
  </cols>
  <sheetData>
    <row r="1" spans="1:3">
      <c r="A1" s="6" t="s">
        <v>0</v>
      </c>
      <c r="B1" s="7"/>
      <c r="C1" s="7"/>
    </row>
    <row r="2" spans="1:3">
      <c r="A2" s="9" t="s">
        <v>1</v>
      </c>
      <c r="B2" s="7"/>
      <c r="C2" s="7"/>
    </row>
    <row r="4" spans="1:3" ht="17">
      <c r="A4" s="10" t="s">
        <v>2</v>
      </c>
      <c r="B4" s="7"/>
      <c r="C4" s="11" t="s">
        <v>3</v>
      </c>
    </row>
    <row r="5" spans="1:3" ht="17">
      <c r="A5" s="10" t="s">
        <v>4</v>
      </c>
      <c r="B5" s="7"/>
      <c r="C5" s="11" t="s">
        <v>5</v>
      </c>
    </row>
    <row r="6" spans="1:3" ht="17">
      <c r="A6" s="10" t="s">
        <v>6</v>
      </c>
      <c r="B6" s="7"/>
      <c r="C6" s="11" t="s">
        <v>7</v>
      </c>
    </row>
    <row r="7" spans="1:3" ht="17">
      <c r="A7" s="10" t="s">
        <v>8</v>
      </c>
      <c r="B7" s="7"/>
      <c r="C7" s="11" t="s">
        <v>9</v>
      </c>
    </row>
    <row r="8" spans="1:3" ht="34">
      <c r="A8" s="10" t="s">
        <v>10</v>
      </c>
      <c r="B8" s="7"/>
      <c r="C8" s="11" t="s">
        <v>11</v>
      </c>
    </row>
    <row r="10" spans="1:3">
      <c r="A10" s="12" t="s">
        <v>12</v>
      </c>
    </row>
    <row r="11" spans="1:3">
      <c r="A11" s="13" t="s">
        <v>13</v>
      </c>
      <c r="B11" s="7"/>
      <c r="C11" s="7"/>
    </row>
    <row r="12" spans="1:3">
      <c r="A12" s="7"/>
      <c r="B12" s="7"/>
      <c r="C12" s="7"/>
    </row>
    <row r="13" spans="1:3">
      <c r="A13" s="7"/>
      <c r="B13" s="7"/>
      <c r="C13" s="7"/>
    </row>
    <row r="15" spans="1:3">
      <c r="A15" s="12" t="s">
        <v>14</v>
      </c>
    </row>
    <row r="16" spans="1:3" ht="22" customHeight="1">
      <c r="A16" s="1" t="s">
        <v>15</v>
      </c>
      <c r="B16" s="1" t="s">
        <v>16</v>
      </c>
      <c r="C16" s="1" t="s">
        <v>17</v>
      </c>
    </row>
    <row r="17" spans="1:3" ht="17">
      <c r="A17" s="14" t="s">
        <v>18</v>
      </c>
      <c r="B17" s="2">
        <f>COUNTA('Open Questions'!$A$2:$A$58)</f>
        <v>57</v>
      </c>
      <c r="C17" s="15" t="s">
        <v>19</v>
      </c>
    </row>
    <row r="18" spans="1:3" ht="17">
      <c r="A18" s="14" t="s">
        <v>20</v>
      </c>
      <c r="B18" s="2">
        <f>COUNTIF('Open Questions'!$C$2:$C$58,"OWED")</f>
        <v>9</v>
      </c>
      <c r="C18" s="15" t="s">
        <v>21</v>
      </c>
    </row>
    <row r="19" spans="1:3" ht="17">
      <c r="A19" s="14" t="s">
        <v>22</v>
      </c>
      <c r="B19" s="2">
        <f>COUNTIF('Open Questions'!$C$2:$C$58,"GAP")</f>
        <v>48</v>
      </c>
      <c r="C19" s="15" t="s">
        <v>23</v>
      </c>
    </row>
    <row r="20" spans="1:3" ht="17">
      <c r="A20" s="14" t="s">
        <v>24</v>
      </c>
      <c r="B20" s="2">
        <f>SUMPRODUCT((COUNTIF('Open Questions'!$B$2:$B$58,'Open Questions'!$B$2:$B$58)&gt;0)/COUNTIF('Open Questions'!$B$2:$B$58,'Open Questions'!$B$2:$B$58))</f>
        <v>10.999999999999991</v>
      </c>
      <c r="C20" s="15" t="s">
        <v>25</v>
      </c>
    </row>
    <row r="21" spans="1:3" ht="17">
      <c r="A21" s="14" t="s">
        <v>26</v>
      </c>
      <c r="B21" s="2">
        <f>COUNT('Open Questions'!$H$2:$H$58)</f>
        <v>33</v>
      </c>
      <c r="C21" s="15" t="s">
        <v>27</v>
      </c>
    </row>
    <row r="23" spans="1:3">
      <c r="A23" s="12" t="s">
        <v>28</v>
      </c>
    </row>
    <row r="24" spans="1:3" ht="22" customHeight="1">
      <c r="A24" s="1" t="s">
        <v>29</v>
      </c>
      <c r="B24" s="1" t="s">
        <v>30</v>
      </c>
      <c r="C24" s="1" t="s">
        <v>31</v>
      </c>
    </row>
    <row r="25" spans="1:3">
      <c r="A25" s="14" t="s">
        <v>32</v>
      </c>
      <c r="B25" s="3">
        <f>COUNTIF('Open Questions'!$B$2:$B$58,$A25)</f>
        <v>8</v>
      </c>
      <c r="C25" s="3">
        <f>COUNTIFS('Open Questions'!$B$2:$B$58,$A25,'Open Questions'!$C$2:$C$58,"OWED")</f>
        <v>0</v>
      </c>
    </row>
    <row r="26" spans="1:3">
      <c r="A26" s="14" t="s">
        <v>33</v>
      </c>
      <c r="B26" s="3">
        <f>COUNTIF('Open Questions'!$B$2:$B$58,$A26)</f>
        <v>8</v>
      </c>
      <c r="C26" s="3">
        <f>COUNTIFS('Open Questions'!$B$2:$B$58,$A26,'Open Questions'!$C$2:$C$58,"OWED")</f>
        <v>0</v>
      </c>
    </row>
    <row r="27" spans="1:3">
      <c r="A27" s="14" t="s">
        <v>34</v>
      </c>
      <c r="B27" s="3">
        <f>COUNTIF('Open Questions'!$B$2:$B$58,$A27)</f>
        <v>7</v>
      </c>
      <c r="C27" s="3">
        <f>COUNTIFS('Open Questions'!$B$2:$B$58,$A27,'Open Questions'!$C$2:$C$58,"OWED")</f>
        <v>2</v>
      </c>
    </row>
    <row r="28" spans="1:3">
      <c r="A28" s="14" t="s">
        <v>35</v>
      </c>
      <c r="B28" s="3">
        <f>COUNTIF('Open Questions'!$B$2:$B$58,$A28)</f>
        <v>6</v>
      </c>
      <c r="C28" s="3">
        <f>COUNTIFS('Open Questions'!$B$2:$B$58,$A28,'Open Questions'!$C$2:$C$58,"OWED")</f>
        <v>1</v>
      </c>
    </row>
    <row r="29" spans="1:3">
      <c r="A29" s="14" t="s">
        <v>36</v>
      </c>
      <c r="B29" s="3">
        <f>COUNTIF('Open Questions'!$B$2:$B$58,$A29)</f>
        <v>5</v>
      </c>
      <c r="C29" s="3">
        <f>COUNTIFS('Open Questions'!$B$2:$B$58,$A29,'Open Questions'!$C$2:$C$58,"OWED")</f>
        <v>1</v>
      </c>
    </row>
    <row r="30" spans="1:3">
      <c r="A30" s="14" t="s">
        <v>37</v>
      </c>
      <c r="B30" s="3">
        <f>COUNTIF('Open Questions'!$B$2:$B$58,$A30)</f>
        <v>4</v>
      </c>
      <c r="C30" s="3">
        <f>COUNTIFS('Open Questions'!$B$2:$B$58,$A30,'Open Questions'!$C$2:$C$58,"OWED")</f>
        <v>0</v>
      </c>
    </row>
    <row r="31" spans="1:3">
      <c r="A31" s="14" t="s">
        <v>38</v>
      </c>
      <c r="B31" s="3">
        <f>COUNTIF('Open Questions'!$B$2:$B$58,$A31)</f>
        <v>3</v>
      </c>
      <c r="C31" s="3">
        <f>COUNTIFS('Open Questions'!$B$2:$B$58,$A31,'Open Questions'!$C$2:$C$58,"OWED")</f>
        <v>0</v>
      </c>
    </row>
    <row r="32" spans="1:3">
      <c r="A32" s="14" t="s">
        <v>39</v>
      </c>
      <c r="B32" s="3">
        <f>COUNTIF('Open Questions'!$B$2:$B$58,$A32)</f>
        <v>3</v>
      </c>
      <c r="C32" s="3">
        <f>COUNTIFS('Open Questions'!$B$2:$B$58,$A32,'Open Questions'!$C$2:$C$58,"OWED")</f>
        <v>0</v>
      </c>
    </row>
    <row r="33" spans="1:3">
      <c r="A33" s="14" t="s">
        <v>40</v>
      </c>
      <c r="B33" s="3">
        <f>COUNTIF('Open Questions'!$B$2:$B$58,$A33)</f>
        <v>7</v>
      </c>
      <c r="C33" s="3">
        <f>COUNTIFS('Open Questions'!$B$2:$B$58,$A33,'Open Questions'!$C$2:$C$58,"OWED")</f>
        <v>3</v>
      </c>
    </row>
    <row r="34" spans="1:3">
      <c r="A34" s="14" t="s">
        <v>41</v>
      </c>
      <c r="B34" s="3">
        <f>COUNTIF('Open Questions'!$B$2:$B$58,$A34)</f>
        <v>5</v>
      </c>
      <c r="C34" s="3">
        <f>COUNTIFS('Open Questions'!$B$2:$B$58,$A34,'Open Questions'!$C$2:$C$58,"OWED")</f>
        <v>1</v>
      </c>
    </row>
    <row r="35" spans="1:3">
      <c r="A35" s="14" t="s">
        <v>42</v>
      </c>
      <c r="B35" s="3">
        <f>COUNTIF('Open Questions'!$B$2:$B$58,$A35)</f>
        <v>1</v>
      </c>
      <c r="C35" s="3">
        <f>COUNTIFS('Open Questions'!$B$2:$B$58,$A35,'Open Questions'!$C$2:$C$58,"OWED")</f>
        <v>1</v>
      </c>
    </row>
  </sheetData>
  <mergeCells count="8">
    <mergeCell ref="A11:C13"/>
    <mergeCell ref="A2:C2"/>
    <mergeCell ref="B8"/>
    <mergeCell ref="B4"/>
    <mergeCell ref="A1:C1"/>
    <mergeCell ref="B7"/>
    <mergeCell ref="B6"/>
    <mergeCell ref="B5"/>
  </mergeCells>
  <pageMargins left="0.75" right="0.75" top="1" bottom="1" header="0.5" footer="0.5"/>
  <headerFooter>
    <oddFooter>&amp;L_x000D_&amp;1#&amp;"Aptos"&amp;10&amp;K000000 Public</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58"/>
  <sheetViews>
    <sheetView showGridLines="0" tabSelected="1" zoomScale="134" zoomScaleNormal="140" workbookViewId="0">
      <pane ySplit="1" topLeftCell="A25" activePane="bottomLeft" state="frozen"/>
      <selection pane="bottomLeft" activeCell="E26" sqref="E26"/>
    </sheetView>
  </sheetViews>
  <sheetFormatPr baseColWidth="10" defaultColWidth="8.83203125" defaultRowHeight="16"/>
  <cols>
    <col min="1" max="1" width="7" style="8" customWidth="1"/>
    <col min="2" max="2" width="26" style="8" customWidth="1"/>
    <col min="3" max="3" width="9" style="8" customWidth="1"/>
    <col min="4" max="4" width="18" style="8" bestFit="1" customWidth="1"/>
    <col min="5" max="5" width="52" style="8" customWidth="1"/>
    <col min="6" max="6" width="74" style="8" customWidth="1"/>
    <col min="7" max="7" width="46" style="8" customWidth="1"/>
    <col min="8" max="8" width="9" style="8" customWidth="1"/>
    <col min="9" max="16384" width="8.83203125" style="8"/>
  </cols>
  <sheetData>
    <row r="1" spans="1:8" ht="30" customHeight="1">
      <c r="A1" s="1" t="s">
        <v>43</v>
      </c>
      <c r="B1" s="1" t="s">
        <v>29</v>
      </c>
      <c r="C1" s="1" t="s">
        <v>44</v>
      </c>
      <c r="D1" s="1" t="s">
        <v>45</v>
      </c>
      <c r="E1" s="1" t="s">
        <v>46</v>
      </c>
      <c r="F1" s="1" t="s">
        <v>47</v>
      </c>
      <c r="G1" s="1" t="s">
        <v>266</v>
      </c>
      <c r="H1" s="1" t="s">
        <v>48</v>
      </c>
    </row>
    <row r="2" spans="1:8" ht="58" hidden="1" customHeight="1">
      <c r="A2" s="3" t="s">
        <v>49</v>
      </c>
      <c r="B2" s="16" t="s">
        <v>32</v>
      </c>
      <c r="C2" s="4" t="s">
        <v>50</v>
      </c>
      <c r="D2" s="3"/>
      <c r="E2" s="17" t="s">
        <v>51</v>
      </c>
      <c r="F2" s="16" t="s">
        <v>52</v>
      </c>
      <c r="G2" s="18" t="s">
        <v>53</v>
      </c>
      <c r="H2" s="3">
        <v>1</v>
      </c>
    </row>
    <row r="3" spans="1:8" ht="58" hidden="1" customHeight="1">
      <c r="A3" s="3" t="s">
        <v>54</v>
      </c>
      <c r="B3" s="16" t="s">
        <v>32</v>
      </c>
      <c r="C3" s="4" t="s">
        <v>50</v>
      </c>
      <c r="D3" s="3"/>
      <c r="E3" s="17" t="s">
        <v>55</v>
      </c>
      <c r="F3" s="16" t="s">
        <v>56</v>
      </c>
      <c r="G3" s="18"/>
      <c r="H3" s="3">
        <v>1</v>
      </c>
    </row>
    <row r="4" spans="1:8" ht="58" hidden="1" customHeight="1">
      <c r="A4" s="3" t="s">
        <v>57</v>
      </c>
      <c r="B4" s="16" t="s">
        <v>32</v>
      </c>
      <c r="C4" s="4" t="s">
        <v>50</v>
      </c>
      <c r="D4" s="3"/>
      <c r="E4" s="17" t="s">
        <v>58</v>
      </c>
      <c r="F4" s="16" t="s">
        <v>59</v>
      </c>
      <c r="G4" s="18"/>
      <c r="H4" s="3">
        <v>1</v>
      </c>
    </row>
    <row r="5" spans="1:8" ht="58" hidden="1" customHeight="1">
      <c r="A5" s="3" t="s">
        <v>60</v>
      </c>
      <c r="B5" s="16" t="s">
        <v>32</v>
      </c>
      <c r="C5" s="4" t="s">
        <v>50</v>
      </c>
      <c r="D5" s="3"/>
      <c r="E5" s="17" t="s">
        <v>61</v>
      </c>
      <c r="F5" s="16" t="s">
        <v>62</v>
      </c>
      <c r="G5" s="18"/>
      <c r="H5" s="3">
        <v>1</v>
      </c>
    </row>
    <row r="6" spans="1:8" ht="58" hidden="1" customHeight="1">
      <c r="A6" s="3" t="s">
        <v>63</v>
      </c>
      <c r="B6" s="16" t="s">
        <v>32</v>
      </c>
      <c r="C6" s="4" t="s">
        <v>50</v>
      </c>
      <c r="D6" s="3"/>
      <c r="E6" s="17" t="s">
        <v>64</v>
      </c>
      <c r="F6" s="16" t="s">
        <v>65</v>
      </c>
      <c r="G6" s="18"/>
      <c r="H6" s="3">
        <v>1</v>
      </c>
    </row>
    <row r="7" spans="1:8" ht="58" hidden="1" customHeight="1">
      <c r="A7" s="3" t="s">
        <v>66</v>
      </c>
      <c r="B7" s="16" t="s">
        <v>32</v>
      </c>
      <c r="C7" s="4" t="s">
        <v>50</v>
      </c>
      <c r="D7" s="3"/>
      <c r="E7" s="17" t="s">
        <v>67</v>
      </c>
      <c r="F7" s="16" t="s">
        <v>68</v>
      </c>
      <c r="G7" s="18" t="s">
        <v>69</v>
      </c>
      <c r="H7" s="3">
        <v>1</v>
      </c>
    </row>
    <row r="8" spans="1:8" ht="58" hidden="1" customHeight="1">
      <c r="A8" s="3" t="s">
        <v>70</v>
      </c>
      <c r="B8" s="16" t="s">
        <v>32</v>
      </c>
      <c r="C8" s="4" t="s">
        <v>50</v>
      </c>
      <c r="D8" s="3"/>
      <c r="E8" s="17" t="s">
        <v>71</v>
      </c>
      <c r="F8" s="16" t="s">
        <v>72</v>
      </c>
      <c r="G8" s="18" t="s">
        <v>73</v>
      </c>
      <c r="H8" s="3">
        <v>1</v>
      </c>
    </row>
    <row r="9" spans="1:8" ht="58" hidden="1" customHeight="1">
      <c r="A9" s="3" t="s">
        <v>74</v>
      </c>
      <c r="B9" s="16" t="s">
        <v>32</v>
      </c>
      <c r="C9" s="4" t="s">
        <v>50</v>
      </c>
      <c r="D9" s="3"/>
      <c r="E9" s="17" t="s">
        <v>75</v>
      </c>
      <c r="F9" s="16" t="s">
        <v>76</v>
      </c>
      <c r="G9" s="18" t="s">
        <v>77</v>
      </c>
      <c r="H9" s="3">
        <v>1</v>
      </c>
    </row>
    <row r="10" spans="1:8" ht="58" hidden="1" customHeight="1">
      <c r="A10" s="3" t="s">
        <v>78</v>
      </c>
      <c r="B10" s="16" t="s">
        <v>33</v>
      </c>
      <c r="C10" s="4" t="s">
        <v>50</v>
      </c>
      <c r="D10" s="3"/>
      <c r="E10" s="17" t="s">
        <v>79</v>
      </c>
      <c r="F10" s="16" t="s">
        <v>80</v>
      </c>
      <c r="G10" s="18" t="s">
        <v>81</v>
      </c>
      <c r="H10" s="3"/>
    </row>
    <row r="11" spans="1:8" ht="58" hidden="1" customHeight="1">
      <c r="A11" s="3" t="s">
        <v>82</v>
      </c>
      <c r="B11" s="16" t="s">
        <v>33</v>
      </c>
      <c r="C11" s="4" t="s">
        <v>50</v>
      </c>
      <c r="D11" s="3"/>
      <c r="E11" s="17" t="s">
        <v>83</v>
      </c>
      <c r="F11" s="16" t="s">
        <v>84</v>
      </c>
      <c r="G11" s="18"/>
      <c r="H11" s="3"/>
    </row>
    <row r="12" spans="1:8" ht="58" hidden="1" customHeight="1">
      <c r="A12" s="3" t="s">
        <v>85</v>
      </c>
      <c r="B12" s="16" t="s">
        <v>33</v>
      </c>
      <c r="C12" s="4" t="s">
        <v>50</v>
      </c>
      <c r="D12" s="3"/>
      <c r="E12" s="17" t="s">
        <v>86</v>
      </c>
      <c r="F12" s="16" t="s">
        <v>87</v>
      </c>
      <c r="G12" s="18" t="s">
        <v>88</v>
      </c>
      <c r="H12" s="3"/>
    </row>
    <row r="13" spans="1:8" ht="58" hidden="1" customHeight="1">
      <c r="A13" s="3" t="s">
        <v>89</v>
      </c>
      <c r="B13" s="16" t="s">
        <v>33</v>
      </c>
      <c r="C13" s="4" t="s">
        <v>50</v>
      </c>
      <c r="D13" s="3"/>
      <c r="E13" s="17" t="s">
        <v>90</v>
      </c>
      <c r="F13" s="16"/>
      <c r="G13" s="18"/>
      <c r="H13" s="3"/>
    </row>
    <row r="14" spans="1:8" ht="58" hidden="1" customHeight="1">
      <c r="A14" s="3" t="s">
        <v>91</v>
      </c>
      <c r="B14" s="16" t="s">
        <v>33</v>
      </c>
      <c r="C14" s="4" t="s">
        <v>50</v>
      </c>
      <c r="D14" s="3"/>
      <c r="E14" s="17" t="s">
        <v>92</v>
      </c>
      <c r="F14" s="16" t="s">
        <v>93</v>
      </c>
      <c r="G14" s="18"/>
      <c r="H14" s="3"/>
    </row>
    <row r="15" spans="1:8" ht="58" hidden="1" customHeight="1">
      <c r="A15" s="3" t="s">
        <v>94</v>
      </c>
      <c r="B15" s="16" t="s">
        <v>33</v>
      </c>
      <c r="C15" s="4" t="s">
        <v>50</v>
      </c>
      <c r="D15" s="3"/>
      <c r="E15" s="17" t="s">
        <v>95</v>
      </c>
      <c r="F15" s="16" t="s">
        <v>96</v>
      </c>
      <c r="G15" s="18"/>
      <c r="H15" s="3"/>
    </row>
    <row r="16" spans="1:8" ht="58" hidden="1" customHeight="1">
      <c r="A16" s="3" t="s">
        <v>97</v>
      </c>
      <c r="B16" s="16" t="s">
        <v>33</v>
      </c>
      <c r="C16" s="4" t="s">
        <v>50</v>
      </c>
      <c r="D16" s="3"/>
      <c r="E16" s="17" t="s">
        <v>98</v>
      </c>
      <c r="F16" s="16" t="s">
        <v>99</v>
      </c>
      <c r="G16" s="18"/>
      <c r="H16" s="3"/>
    </row>
    <row r="17" spans="1:8" ht="58" hidden="1" customHeight="1">
      <c r="A17" s="3" t="s">
        <v>100</v>
      </c>
      <c r="B17" s="16" t="s">
        <v>33</v>
      </c>
      <c r="C17" s="4" t="s">
        <v>50</v>
      </c>
      <c r="D17" s="3"/>
      <c r="E17" s="17" t="s">
        <v>101</v>
      </c>
      <c r="F17" s="16" t="s">
        <v>102</v>
      </c>
      <c r="G17" s="18"/>
      <c r="H17" s="3"/>
    </row>
    <row r="18" spans="1:8" ht="58" hidden="1" customHeight="1">
      <c r="A18" s="3" t="s">
        <v>103</v>
      </c>
      <c r="B18" s="16" t="s">
        <v>34</v>
      </c>
      <c r="C18" s="5" t="s">
        <v>104</v>
      </c>
      <c r="D18" s="3" t="s">
        <v>105</v>
      </c>
      <c r="E18" s="17" t="s">
        <v>106</v>
      </c>
      <c r="F18" s="16" t="s">
        <v>268</v>
      </c>
      <c r="G18" s="18" t="s">
        <v>267</v>
      </c>
      <c r="H18" s="3">
        <v>3</v>
      </c>
    </row>
    <row r="19" spans="1:8" ht="58" hidden="1" customHeight="1">
      <c r="A19" s="3" t="s">
        <v>107</v>
      </c>
      <c r="B19" s="16" t="s">
        <v>34</v>
      </c>
      <c r="C19" s="5" t="s">
        <v>104</v>
      </c>
      <c r="D19" s="3" t="s">
        <v>108</v>
      </c>
      <c r="E19" s="17" t="s">
        <v>109</v>
      </c>
      <c r="F19" s="16" t="s">
        <v>110</v>
      </c>
      <c r="G19" s="18"/>
      <c r="H19" s="3">
        <v>3</v>
      </c>
    </row>
    <row r="20" spans="1:8" ht="58" hidden="1" customHeight="1">
      <c r="A20" s="3" t="s">
        <v>111</v>
      </c>
      <c r="B20" s="16" t="s">
        <v>34</v>
      </c>
      <c r="C20" s="4" t="s">
        <v>50</v>
      </c>
      <c r="D20" s="3"/>
      <c r="E20" s="17" t="s">
        <v>112</v>
      </c>
      <c r="F20" s="16" t="s">
        <v>113</v>
      </c>
      <c r="G20" s="18" t="s">
        <v>114</v>
      </c>
      <c r="H20" s="3">
        <v>3</v>
      </c>
    </row>
    <row r="21" spans="1:8" ht="58" hidden="1" customHeight="1">
      <c r="A21" s="3" t="s">
        <v>115</v>
      </c>
      <c r="B21" s="16" t="s">
        <v>34</v>
      </c>
      <c r="C21" s="4" t="s">
        <v>50</v>
      </c>
      <c r="D21" s="3"/>
      <c r="E21" s="17" t="s">
        <v>116</v>
      </c>
      <c r="F21" s="16" t="s">
        <v>117</v>
      </c>
      <c r="G21" s="18" t="s">
        <v>118</v>
      </c>
      <c r="H21" s="3">
        <v>3</v>
      </c>
    </row>
    <row r="22" spans="1:8" ht="58" hidden="1" customHeight="1">
      <c r="A22" s="3" t="s">
        <v>119</v>
      </c>
      <c r="B22" s="16" t="s">
        <v>34</v>
      </c>
      <c r="C22" s="4" t="s">
        <v>50</v>
      </c>
      <c r="D22" s="3"/>
      <c r="E22" s="17" t="s">
        <v>120</v>
      </c>
      <c r="F22" s="16" t="s">
        <v>121</v>
      </c>
      <c r="G22" s="18" t="s">
        <v>122</v>
      </c>
      <c r="H22" s="3">
        <v>3</v>
      </c>
    </row>
    <row r="23" spans="1:8" ht="58" hidden="1" customHeight="1">
      <c r="A23" s="3" t="s">
        <v>123</v>
      </c>
      <c r="B23" s="16" t="s">
        <v>34</v>
      </c>
      <c r="C23" s="4" t="s">
        <v>50</v>
      </c>
      <c r="D23" s="3"/>
      <c r="E23" s="17" t="s">
        <v>124</v>
      </c>
      <c r="F23" s="16" t="s">
        <v>125</v>
      </c>
      <c r="G23" s="18"/>
      <c r="H23" s="3">
        <v>3</v>
      </c>
    </row>
    <row r="24" spans="1:8" ht="58" hidden="1" customHeight="1">
      <c r="A24" s="3" t="s">
        <v>126</v>
      </c>
      <c r="B24" s="16" t="s">
        <v>34</v>
      </c>
      <c r="C24" s="4" t="s">
        <v>50</v>
      </c>
      <c r="D24" s="3"/>
      <c r="E24" s="17" t="s">
        <v>127</v>
      </c>
      <c r="F24" s="16" t="s">
        <v>128</v>
      </c>
      <c r="G24" s="18" t="s">
        <v>129</v>
      </c>
      <c r="H24" s="3">
        <v>3</v>
      </c>
    </row>
    <row r="25" spans="1:8" ht="58" customHeight="1">
      <c r="A25" s="3" t="s">
        <v>130</v>
      </c>
      <c r="B25" s="16" t="s">
        <v>35</v>
      </c>
      <c r="C25" s="4" t="s">
        <v>50</v>
      </c>
      <c r="D25" s="3"/>
      <c r="E25" s="17" t="s">
        <v>131</v>
      </c>
      <c r="F25" s="16" t="s">
        <v>132</v>
      </c>
      <c r="G25" s="18"/>
      <c r="H25" s="3">
        <v>2</v>
      </c>
    </row>
    <row r="26" spans="1:8" ht="58" customHeight="1">
      <c r="A26" s="3" t="s">
        <v>133</v>
      </c>
      <c r="B26" s="16" t="s">
        <v>35</v>
      </c>
      <c r="C26" s="4" t="s">
        <v>50</v>
      </c>
      <c r="D26" s="3"/>
      <c r="E26" s="17" t="s">
        <v>134</v>
      </c>
      <c r="F26" s="16"/>
      <c r="G26" s="18"/>
      <c r="H26" s="3">
        <v>2</v>
      </c>
    </row>
    <row r="27" spans="1:8" ht="58" customHeight="1">
      <c r="A27" s="3" t="s">
        <v>135</v>
      </c>
      <c r="B27" s="16" t="s">
        <v>35</v>
      </c>
      <c r="C27" s="4" t="s">
        <v>50</v>
      </c>
      <c r="D27" s="3"/>
      <c r="E27" s="17" t="s">
        <v>136</v>
      </c>
      <c r="F27" s="16"/>
      <c r="G27" s="18"/>
      <c r="H27" s="3">
        <v>2</v>
      </c>
    </row>
    <row r="28" spans="1:8" ht="58" customHeight="1">
      <c r="A28" s="3" t="s">
        <v>137</v>
      </c>
      <c r="B28" s="16" t="s">
        <v>35</v>
      </c>
      <c r="C28" s="4" t="s">
        <v>50</v>
      </c>
      <c r="D28" s="3"/>
      <c r="E28" s="17" t="s">
        <v>138</v>
      </c>
      <c r="F28" s="16"/>
      <c r="G28" s="18"/>
      <c r="H28" s="3">
        <v>2</v>
      </c>
    </row>
    <row r="29" spans="1:8" ht="58" customHeight="1">
      <c r="A29" s="3" t="s">
        <v>139</v>
      </c>
      <c r="B29" s="16" t="s">
        <v>35</v>
      </c>
      <c r="C29" s="4" t="s">
        <v>50</v>
      </c>
      <c r="D29" s="3"/>
      <c r="E29" s="17" t="s">
        <v>140</v>
      </c>
      <c r="F29" s="16" t="s">
        <v>141</v>
      </c>
      <c r="G29" s="18"/>
      <c r="H29" s="3">
        <v>2</v>
      </c>
    </row>
    <row r="30" spans="1:8" ht="58" customHeight="1">
      <c r="A30" s="3" t="s">
        <v>142</v>
      </c>
      <c r="B30" s="16" t="s">
        <v>35</v>
      </c>
      <c r="C30" s="5" t="s">
        <v>104</v>
      </c>
      <c r="D30" s="3" t="s">
        <v>143</v>
      </c>
      <c r="E30" s="17" t="s">
        <v>144</v>
      </c>
      <c r="F30" s="16" t="s">
        <v>145</v>
      </c>
      <c r="G30" s="18"/>
      <c r="H30" s="3">
        <v>2</v>
      </c>
    </row>
    <row r="31" spans="1:8" ht="58" hidden="1" customHeight="1">
      <c r="A31" s="3" t="s">
        <v>146</v>
      </c>
      <c r="B31" s="16" t="s">
        <v>36</v>
      </c>
      <c r="C31" s="5" t="s">
        <v>104</v>
      </c>
      <c r="D31" s="3" t="s">
        <v>147</v>
      </c>
      <c r="E31" s="17" t="s">
        <v>148</v>
      </c>
      <c r="F31" s="16" t="s">
        <v>149</v>
      </c>
      <c r="G31" s="18" t="s">
        <v>150</v>
      </c>
      <c r="H31" s="3">
        <v>6</v>
      </c>
    </row>
    <row r="32" spans="1:8" ht="58" hidden="1" customHeight="1">
      <c r="A32" s="3" t="s">
        <v>151</v>
      </c>
      <c r="B32" s="16" t="s">
        <v>36</v>
      </c>
      <c r="C32" s="4" t="s">
        <v>50</v>
      </c>
      <c r="D32" s="3"/>
      <c r="E32" s="17" t="s">
        <v>152</v>
      </c>
      <c r="F32" s="16" t="s">
        <v>153</v>
      </c>
      <c r="G32" s="18"/>
      <c r="H32" s="3">
        <v>6</v>
      </c>
    </row>
    <row r="33" spans="1:8" ht="58" hidden="1" customHeight="1">
      <c r="A33" s="3" t="s">
        <v>154</v>
      </c>
      <c r="B33" s="16" t="s">
        <v>36</v>
      </c>
      <c r="C33" s="4" t="s">
        <v>50</v>
      </c>
      <c r="D33" s="3"/>
      <c r="E33" s="17" t="s">
        <v>155</v>
      </c>
      <c r="F33" s="16"/>
      <c r="G33" s="18"/>
      <c r="H33" s="3">
        <v>6</v>
      </c>
    </row>
    <row r="34" spans="1:8" ht="58" hidden="1" customHeight="1">
      <c r="A34" s="3" t="s">
        <v>156</v>
      </c>
      <c r="B34" s="16" t="s">
        <v>36</v>
      </c>
      <c r="C34" s="4" t="s">
        <v>50</v>
      </c>
      <c r="D34" s="3"/>
      <c r="E34" s="17" t="s">
        <v>157</v>
      </c>
      <c r="F34" s="16" t="s">
        <v>158</v>
      </c>
      <c r="G34" s="18"/>
      <c r="H34" s="3">
        <v>6</v>
      </c>
    </row>
    <row r="35" spans="1:8" ht="58" hidden="1" customHeight="1">
      <c r="A35" s="3" t="s">
        <v>159</v>
      </c>
      <c r="B35" s="16" t="s">
        <v>36</v>
      </c>
      <c r="C35" s="4" t="s">
        <v>50</v>
      </c>
      <c r="D35" s="3"/>
      <c r="E35" s="17" t="s">
        <v>160</v>
      </c>
      <c r="F35" s="16" t="s">
        <v>161</v>
      </c>
      <c r="G35" s="18"/>
      <c r="H35" s="3">
        <v>6</v>
      </c>
    </row>
    <row r="36" spans="1:8" ht="58" hidden="1" customHeight="1">
      <c r="A36" s="3" t="s">
        <v>162</v>
      </c>
      <c r="B36" s="16" t="s">
        <v>37</v>
      </c>
      <c r="C36" s="4" t="s">
        <v>50</v>
      </c>
      <c r="D36" s="3"/>
      <c r="E36" s="17" t="s">
        <v>163</v>
      </c>
      <c r="F36" s="16" t="s">
        <v>164</v>
      </c>
      <c r="G36" s="18"/>
      <c r="H36" s="3">
        <v>7</v>
      </c>
    </row>
    <row r="37" spans="1:8" ht="58" hidden="1" customHeight="1">
      <c r="A37" s="3" t="s">
        <v>165</v>
      </c>
      <c r="B37" s="16" t="s">
        <v>37</v>
      </c>
      <c r="C37" s="4" t="s">
        <v>50</v>
      </c>
      <c r="D37" s="3"/>
      <c r="E37" s="17" t="s">
        <v>166</v>
      </c>
      <c r="F37" s="16" t="s">
        <v>167</v>
      </c>
      <c r="G37" s="18" t="s">
        <v>168</v>
      </c>
      <c r="H37" s="3">
        <v>7</v>
      </c>
    </row>
    <row r="38" spans="1:8" ht="58" hidden="1" customHeight="1">
      <c r="A38" s="3" t="s">
        <v>169</v>
      </c>
      <c r="B38" s="16" t="s">
        <v>37</v>
      </c>
      <c r="C38" s="4" t="s">
        <v>50</v>
      </c>
      <c r="D38" s="3"/>
      <c r="E38" s="17" t="s">
        <v>170</v>
      </c>
      <c r="F38" s="16" t="s">
        <v>171</v>
      </c>
      <c r="G38" s="18"/>
      <c r="H38" s="3">
        <v>7</v>
      </c>
    </row>
    <row r="39" spans="1:8" ht="58" hidden="1" customHeight="1">
      <c r="A39" s="3" t="s">
        <v>172</v>
      </c>
      <c r="B39" s="16" t="s">
        <v>37</v>
      </c>
      <c r="C39" s="4" t="s">
        <v>50</v>
      </c>
      <c r="D39" s="3"/>
      <c r="E39" s="17" t="s">
        <v>173</v>
      </c>
      <c r="F39" s="16" t="s">
        <v>174</v>
      </c>
      <c r="G39" s="18"/>
      <c r="H39" s="3">
        <v>7</v>
      </c>
    </row>
    <row r="40" spans="1:8" ht="58" hidden="1" customHeight="1">
      <c r="A40" s="3" t="s">
        <v>175</v>
      </c>
      <c r="B40" s="16" t="s">
        <v>38</v>
      </c>
      <c r="C40" s="4" t="s">
        <v>50</v>
      </c>
      <c r="D40" s="3"/>
      <c r="E40" s="17" t="s">
        <v>176</v>
      </c>
      <c r="F40" s="16" t="s">
        <v>177</v>
      </c>
      <c r="G40" s="18"/>
      <c r="H40" s="3"/>
    </row>
    <row r="41" spans="1:8" ht="58" hidden="1" customHeight="1">
      <c r="A41" s="3" t="s">
        <v>178</v>
      </c>
      <c r="B41" s="16" t="s">
        <v>38</v>
      </c>
      <c r="C41" s="4" t="s">
        <v>50</v>
      </c>
      <c r="D41" s="3"/>
      <c r="E41" s="17" t="s">
        <v>179</v>
      </c>
      <c r="F41" s="16" t="s">
        <v>180</v>
      </c>
      <c r="G41" s="18"/>
      <c r="H41" s="3"/>
    </row>
    <row r="42" spans="1:8" ht="58" hidden="1" customHeight="1">
      <c r="A42" s="3" t="s">
        <v>181</v>
      </c>
      <c r="B42" s="16" t="s">
        <v>38</v>
      </c>
      <c r="C42" s="4" t="s">
        <v>50</v>
      </c>
      <c r="D42" s="3"/>
      <c r="E42" s="17" t="s">
        <v>182</v>
      </c>
      <c r="F42" s="16" t="s">
        <v>183</v>
      </c>
      <c r="G42" s="18"/>
      <c r="H42" s="3"/>
    </row>
    <row r="43" spans="1:8" ht="58" hidden="1" customHeight="1">
      <c r="A43" s="3" t="s">
        <v>184</v>
      </c>
      <c r="B43" s="16" t="s">
        <v>39</v>
      </c>
      <c r="C43" s="4" t="s">
        <v>50</v>
      </c>
      <c r="D43" s="3"/>
      <c r="E43" s="17" t="s">
        <v>185</v>
      </c>
      <c r="F43" s="16" t="s">
        <v>186</v>
      </c>
      <c r="G43" s="18"/>
      <c r="H43" s="3">
        <v>8</v>
      </c>
    </row>
    <row r="44" spans="1:8" ht="58" hidden="1" customHeight="1">
      <c r="A44" s="3" t="s">
        <v>187</v>
      </c>
      <c r="B44" s="16" t="s">
        <v>39</v>
      </c>
      <c r="C44" s="4" t="s">
        <v>50</v>
      </c>
      <c r="D44" s="3"/>
      <c r="E44" s="17" t="s">
        <v>188</v>
      </c>
      <c r="F44" s="16" t="s">
        <v>189</v>
      </c>
      <c r="G44" s="18"/>
      <c r="H44" s="3">
        <v>8</v>
      </c>
    </row>
    <row r="45" spans="1:8" ht="58" hidden="1" customHeight="1">
      <c r="A45" s="3" t="s">
        <v>190</v>
      </c>
      <c r="B45" s="16" t="s">
        <v>39</v>
      </c>
      <c r="C45" s="4" t="s">
        <v>50</v>
      </c>
      <c r="D45" s="3"/>
      <c r="E45" s="17" t="s">
        <v>191</v>
      </c>
      <c r="F45" s="16" t="s">
        <v>192</v>
      </c>
      <c r="G45" s="18"/>
      <c r="H45" s="3">
        <v>8</v>
      </c>
    </row>
    <row r="46" spans="1:8" ht="58" hidden="1" customHeight="1">
      <c r="A46" s="3" t="s">
        <v>193</v>
      </c>
      <c r="B46" s="16" t="s">
        <v>40</v>
      </c>
      <c r="C46" s="5" t="s">
        <v>104</v>
      </c>
      <c r="D46" s="3" t="s">
        <v>194</v>
      </c>
      <c r="E46" s="17" t="s">
        <v>195</v>
      </c>
      <c r="F46" s="16" t="s">
        <v>196</v>
      </c>
      <c r="G46" s="18"/>
      <c r="H46" s="3"/>
    </row>
    <row r="47" spans="1:8" ht="58" hidden="1" customHeight="1">
      <c r="A47" s="3" t="s">
        <v>197</v>
      </c>
      <c r="B47" s="16" t="s">
        <v>40</v>
      </c>
      <c r="C47" s="4" t="s">
        <v>50</v>
      </c>
      <c r="D47" s="3"/>
      <c r="E47" s="17" t="s">
        <v>198</v>
      </c>
      <c r="F47" s="16" t="s">
        <v>199</v>
      </c>
      <c r="G47" s="18"/>
      <c r="H47" s="3"/>
    </row>
    <row r="48" spans="1:8" ht="58" hidden="1" customHeight="1">
      <c r="A48" s="3" t="s">
        <v>200</v>
      </c>
      <c r="B48" s="16" t="s">
        <v>40</v>
      </c>
      <c r="C48" s="4" t="s">
        <v>50</v>
      </c>
      <c r="D48" s="3"/>
      <c r="E48" s="17" t="s">
        <v>201</v>
      </c>
      <c r="F48" s="16" t="s">
        <v>202</v>
      </c>
      <c r="G48" s="18"/>
      <c r="H48" s="3"/>
    </row>
    <row r="49" spans="1:8" ht="58" hidden="1" customHeight="1">
      <c r="A49" s="3" t="s">
        <v>203</v>
      </c>
      <c r="B49" s="16" t="s">
        <v>40</v>
      </c>
      <c r="C49" s="4" t="s">
        <v>50</v>
      </c>
      <c r="D49" s="3"/>
      <c r="E49" s="17" t="s">
        <v>204</v>
      </c>
      <c r="F49" s="16" t="s">
        <v>205</v>
      </c>
      <c r="G49" s="18"/>
      <c r="H49" s="3"/>
    </row>
    <row r="50" spans="1:8" ht="58" hidden="1" customHeight="1">
      <c r="A50" s="3" t="s">
        <v>206</v>
      </c>
      <c r="B50" s="16" t="s">
        <v>40</v>
      </c>
      <c r="C50" s="5" t="s">
        <v>104</v>
      </c>
      <c r="D50" s="3" t="s">
        <v>207</v>
      </c>
      <c r="E50" s="17" t="s">
        <v>208</v>
      </c>
      <c r="F50" s="16" t="s">
        <v>209</v>
      </c>
      <c r="G50" s="18"/>
      <c r="H50" s="3"/>
    </row>
    <row r="51" spans="1:8" ht="58" hidden="1" customHeight="1">
      <c r="A51" s="3" t="s">
        <v>210</v>
      </c>
      <c r="B51" s="16" t="s">
        <v>40</v>
      </c>
      <c r="C51" s="5" t="s">
        <v>104</v>
      </c>
      <c r="D51" s="3" t="s">
        <v>211</v>
      </c>
      <c r="E51" s="17" t="s">
        <v>212</v>
      </c>
      <c r="F51" s="16" t="s">
        <v>213</v>
      </c>
      <c r="G51" s="18"/>
      <c r="H51" s="3"/>
    </row>
    <row r="52" spans="1:8" ht="58" hidden="1" customHeight="1">
      <c r="A52" s="3" t="s">
        <v>214</v>
      </c>
      <c r="B52" s="16" t="s">
        <v>40</v>
      </c>
      <c r="C52" s="4" t="s">
        <v>50</v>
      </c>
      <c r="D52" s="3"/>
      <c r="E52" s="17" t="s">
        <v>215</v>
      </c>
      <c r="F52" s="16" t="s">
        <v>216</v>
      </c>
      <c r="G52" s="18" t="s">
        <v>217</v>
      </c>
      <c r="H52" s="3"/>
    </row>
    <row r="53" spans="1:8" ht="58" hidden="1" customHeight="1">
      <c r="A53" s="3" t="s">
        <v>218</v>
      </c>
      <c r="B53" s="16" t="s">
        <v>41</v>
      </c>
      <c r="C53" s="5" t="s">
        <v>104</v>
      </c>
      <c r="D53" s="3" t="s">
        <v>219</v>
      </c>
      <c r="E53" s="17" t="s">
        <v>220</v>
      </c>
      <c r="F53" s="16" t="s">
        <v>221</v>
      </c>
      <c r="G53" s="18"/>
      <c r="H53" s="3"/>
    </row>
    <row r="54" spans="1:8" ht="58" hidden="1" customHeight="1">
      <c r="A54" s="3" t="s">
        <v>222</v>
      </c>
      <c r="B54" s="16" t="s">
        <v>41</v>
      </c>
      <c r="C54" s="4" t="s">
        <v>50</v>
      </c>
      <c r="D54" s="3"/>
      <c r="E54" s="17" t="s">
        <v>223</v>
      </c>
      <c r="F54" s="16" t="s">
        <v>224</v>
      </c>
      <c r="G54" s="18" t="s">
        <v>225</v>
      </c>
      <c r="H54" s="3"/>
    </row>
    <row r="55" spans="1:8" ht="58" hidden="1" customHeight="1">
      <c r="A55" s="3" t="s">
        <v>226</v>
      </c>
      <c r="B55" s="16" t="s">
        <v>41</v>
      </c>
      <c r="C55" s="4" t="s">
        <v>50</v>
      </c>
      <c r="D55" s="3"/>
      <c r="E55" s="17" t="s">
        <v>227</v>
      </c>
      <c r="F55" s="16" t="s">
        <v>228</v>
      </c>
      <c r="G55" s="18" t="s">
        <v>81</v>
      </c>
      <c r="H55" s="3"/>
    </row>
    <row r="56" spans="1:8" ht="58" hidden="1" customHeight="1">
      <c r="A56" s="3" t="s">
        <v>229</v>
      </c>
      <c r="B56" s="16" t="s">
        <v>41</v>
      </c>
      <c r="C56" s="4" t="s">
        <v>50</v>
      </c>
      <c r="D56" s="3"/>
      <c r="E56" s="17" t="s">
        <v>230</v>
      </c>
      <c r="F56" s="16" t="s">
        <v>231</v>
      </c>
      <c r="G56" s="18"/>
      <c r="H56" s="3"/>
    </row>
    <row r="57" spans="1:8" ht="58" hidden="1" customHeight="1">
      <c r="A57" s="3" t="s">
        <v>232</v>
      </c>
      <c r="B57" s="16" t="s">
        <v>41</v>
      </c>
      <c r="C57" s="4" t="s">
        <v>50</v>
      </c>
      <c r="D57" s="3"/>
      <c r="E57" s="17" t="s">
        <v>233</v>
      </c>
      <c r="F57" s="16" t="s">
        <v>234</v>
      </c>
      <c r="G57" s="18"/>
      <c r="H57" s="3"/>
    </row>
    <row r="58" spans="1:8" ht="58" hidden="1" customHeight="1">
      <c r="A58" s="3" t="s">
        <v>235</v>
      </c>
      <c r="B58" s="16" t="s">
        <v>42</v>
      </c>
      <c r="C58" s="5" t="s">
        <v>104</v>
      </c>
      <c r="D58" s="3" t="s">
        <v>236</v>
      </c>
      <c r="E58" s="17" t="s">
        <v>237</v>
      </c>
      <c r="F58" s="16" t="s">
        <v>238</v>
      </c>
      <c r="G58" s="18"/>
      <c r="H58" s="3"/>
    </row>
  </sheetData>
  <autoFilter ref="A1:H58" xr:uid="{00000000-0009-0000-0000-000001000000}">
    <filterColumn colId="7">
      <filters>
        <filter val="2"/>
      </filters>
    </filterColumn>
  </autoFilter>
  <pageMargins left="0.75" right="0.75" top="1" bottom="1" header="0.5" footer="0.5"/>
  <headerFooter>
    <oddFooter>&amp;L_x000D_&amp;1#&amp;"Aptos"&amp;10&amp;K000000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zoomScale="140" zoomScaleNormal="140" workbookViewId="0">
      <selection activeCell="C54" sqref="C54"/>
    </sheetView>
  </sheetViews>
  <sheetFormatPr baseColWidth="10" defaultColWidth="8.83203125" defaultRowHeight="16"/>
  <cols>
    <col min="1" max="1" width="7" style="8" customWidth="1"/>
    <col min="2" max="3" width="62" style="8" customWidth="1"/>
    <col min="4" max="16384" width="8.83203125" style="8"/>
  </cols>
  <sheetData>
    <row r="1" spans="1:3" ht="30" customHeight="1">
      <c r="A1" s="1" t="s">
        <v>239</v>
      </c>
      <c r="B1" s="1" t="s">
        <v>240</v>
      </c>
      <c r="C1" s="1" t="s">
        <v>241</v>
      </c>
    </row>
    <row r="2" spans="1:3" ht="44" customHeight="1">
      <c r="A2" s="2">
        <v>1</v>
      </c>
      <c r="B2" s="17" t="s">
        <v>242</v>
      </c>
      <c r="C2" s="16" t="s">
        <v>243</v>
      </c>
    </row>
    <row r="3" spans="1:3" ht="44" customHeight="1">
      <c r="A3" s="2">
        <v>2</v>
      </c>
      <c r="B3" s="17" t="s">
        <v>244</v>
      </c>
      <c r="C3" s="16" t="s">
        <v>245</v>
      </c>
    </row>
    <row r="4" spans="1:3" ht="44" customHeight="1">
      <c r="A4" s="2">
        <v>3</v>
      </c>
      <c r="B4" s="17" t="s">
        <v>246</v>
      </c>
      <c r="C4" s="16" t="s">
        <v>247</v>
      </c>
    </row>
    <row r="5" spans="1:3" ht="44" customHeight="1">
      <c r="A5" s="2">
        <v>4</v>
      </c>
      <c r="B5" s="17" t="s">
        <v>248</v>
      </c>
      <c r="C5" s="16" t="s">
        <v>249</v>
      </c>
    </row>
    <row r="6" spans="1:3" ht="44" customHeight="1">
      <c r="A6" s="2">
        <v>5</v>
      </c>
      <c r="B6" s="17" t="s">
        <v>250</v>
      </c>
      <c r="C6" s="16" t="s">
        <v>251</v>
      </c>
    </row>
    <row r="7" spans="1:3" ht="44" customHeight="1">
      <c r="A7" s="2">
        <v>6</v>
      </c>
      <c r="B7" s="17" t="s">
        <v>252</v>
      </c>
      <c r="C7" s="16" t="s">
        <v>253</v>
      </c>
    </row>
    <row r="8" spans="1:3" ht="44" customHeight="1">
      <c r="A8" s="2">
        <v>7</v>
      </c>
      <c r="B8" s="17" t="s">
        <v>254</v>
      </c>
      <c r="C8" s="16" t="s">
        <v>255</v>
      </c>
    </row>
    <row r="9" spans="1:3" ht="44" customHeight="1">
      <c r="A9" s="2">
        <v>8</v>
      </c>
      <c r="B9" s="17" t="s">
        <v>256</v>
      </c>
      <c r="C9" s="16" t="s">
        <v>257</v>
      </c>
    </row>
    <row r="11" spans="1:3">
      <c r="A11" s="13" t="s">
        <v>258</v>
      </c>
      <c r="B11" s="7"/>
      <c r="C11" s="7"/>
    </row>
    <row r="12" spans="1:3">
      <c r="A12" s="7"/>
      <c r="B12" s="7"/>
      <c r="C12" s="7"/>
    </row>
  </sheetData>
  <mergeCells count="1">
    <mergeCell ref="A11:C12"/>
  </mergeCells>
  <pageMargins left="0.75" right="0.75" top="1" bottom="1" header="0.5" footer="0.5"/>
  <headerFooter>
    <oddFooter>&amp;L_x000D_&amp;1#&amp;"Aptos"&amp;10&amp;K000000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zoomScale="140" zoomScaleNormal="140" workbookViewId="0">
      <selection activeCell="B5" sqref="B5"/>
    </sheetView>
  </sheetViews>
  <sheetFormatPr baseColWidth="10" defaultColWidth="8.83203125" defaultRowHeight="16"/>
  <cols>
    <col min="1" max="1" width="7" style="8" customWidth="1"/>
    <col min="2" max="2" width="118" style="8" customWidth="1"/>
    <col min="3" max="16384" width="8.83203125" style="8"/>
  </cols>
  <sheetData>
    <row r="1" spans="1:2" ht="30" customHeight="1">
      <c r="A1" s="1" t="s">
        <v>259</v>
      </c>
      <c r="B1" s="1" t="s">
        <v>260</v>
      </c>
    </row>
    <row r="2" spans="1:2" ht="44" customHeight="1">
      <c r="A2" s="2">
        <v>1</v>
      </c>
      <c r="B2" s="16" t="s">
        <v>261</v>
      </c>
    </row>
    <row r="3" spans="1:2" ht="44" customHeight="1">
      <c r="A3" s="2">
        <v>2</v>
      </c>
      <c r="B3" s="16" t="s">
        <v>262</v>
      </c>
    </row>
    <row r="4" spans="1:2" ht="44" customHeight="1">
      <c r="A4" s="2">
        <v>3</v>
      </c>
      <c r="B4" s="16" t="s">
        <v>263</v>
      </c>
    </row>
    <row r="5" spans="1:2" ht="44" customHeight="1">
      <c r="A5" s="2">
        <v>4</v>
      </c>
      <c r="B5" s="16" t="s">
        <v>264</v>
      </c>
    </row>
    <row r="7" spans="1:2">
      <c r="A7" s="13" t="s">
        <v>265</v>
      </c>
      <c r="B7" s="7"/>
    </row>
    <row r="8" spans="1:2">
      <c r="A8" s="7"/>
      <c r="B8" s="7"/>
    </row>
  </sheetData>
  <mergeCells count="1">
    <mergeCell ref="A7:B8"/>
  </mergeCells>
  <pageMargins left="0.75" right="0.75" top="1" bottom="1" header="0.5" footer="0.5"/>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 Me</vt:lpstr>
      <vt:lpstr>Open Questions</vt:lpstr>
      <vt:lpstr>Priority Shortlist</vt:lpstr>
      <vt:lpstr>Artefacts to Request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2026-09-26T17:15:06Z</dcterms:created>
  <dcterms:modified xsi:type="dcterms:W3CDTF">2026-09-26T19:31:46Z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2026-09-26T17:15:40Z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67c13084-ff8b-46cf-9359-c4334b10e775</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