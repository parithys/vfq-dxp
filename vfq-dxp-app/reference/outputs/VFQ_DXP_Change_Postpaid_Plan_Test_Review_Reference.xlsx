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eature Overview" sheetId="1" state="visible" r:id="rId1"/>
    <sheet xmlns:r="http://schemas.openxmlformats.org/officeDocument/2006/relationships" name="Requirements Traceability" sheetId="2" state="visible" r:id="rId2"/>
    <sheet xmlns:r="http://schemas.openxmlformats.org/officeDocument/2006/relationships" name="Test Suite" sheetId="3" state="visible" r:id="rId3"/>
    <sheet xmlns:r="http://schemas.openxmlformats.org/officeDocument/2006/relationships" name="Audit Findings" sheetId="4" state="visible" r:id="rId4"/>
    <sheet xmlns:r="http://schemas.openxmlformats.org/officeDocument/2006/relationships" name="Coverage Matrix" sheetId="5" state="visible" r:id="rId5"/>
    <sheet xmlns:r="http://schemas.openxmlformats.org/officeDocument/2006/relationships" name="Readiness Summary" sheetId="6" state="visible" r:id="rId6"/>
  </sheets>
  <definedNames>
    <definedName name="_xlnm._FilterDatabase" localSheetId="0" hidden="1">'Feature Overview'!$A$1:$J$1</definedName>
    <definedName name="_xlnm._FilterDatabase" localSheetId="1" hidden="1">'Requirements Traceability'!$A$1:$K$1</definedName>
    <definedName name="_xlnm._FilterDatabase" localSheetId="2" hidden="1">'Test Suite'!$A$1:$R$1</definedName>
    <definedName name="_xlnm._FilterDatabase" localSheetId="3" hidden="1">'Audit Findings'!$A$1:$L$1</definedName>
    <definedName name="_xlnm._FilterDatabase" localSheetId="4" hidden="1">'Coverage Matrix'!$A$1:$J$1</definedName>
    <definedName name="_xlnm._FilterDatabase" localSheetId="5" hidden="1">'Readiness Summary'!$A$1:$N$1</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4E78"/>
        <bgColor rgb="001F4E78"/>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5">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pivotButton="0" quotePrefix="0" xfId="0"/>
    <xf numFmtId="164" fontId="2" fillId="0" borderId="1" pivotButton="0" quotePrefix="0" xfId="0"/>
  </cellXfs>
  <cellStyles count="1">
    <cellStyle name="Normal" xfId="0" builtinId="0" hidden="0"/>
  </cellStyles>
  <dxfs count="10">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F4CCCC"/>
          <bgColor rgb="00F4CCCC"/>
        </patternFill>
      </fill>
    </dxf>
    <dxf>
      <fill>
        <patternFill patternType="solid">
          <fgColor rgb="00D9D2E9"/>
          <bgColor rgb="00D9D2E9"/>
        </patternFill>
      </fill>
    </dxf>
    <dxf>
      <fill>
        <patternFill patternType="solid">
          <fgColor rgb="00D9D9D9"/>
          <bgColor rgb="00D9D9D9"/>
        </patternFill>
      </fill>
    </dxf>
    <dxf>
      <fill>
        <patternFill patternType="solid">
          <fgColor rgb="00FF0000"/>
          <bgColor rgb="00FF0000"/>
        </patternFill>
      </fill>
    </dxf>
    <dxf>
      <fill>
        <patternFill patternType="solid">
          <fgColor rgb="00FF8C00"/>
          <bgColor rgb="00FF8C00"/>
        </patternFill>
      </fill>
    </dxf>
    <dxf>
      <fill>
        <patternFill patternType="solid">
          <fgColor rgb="00FFD700"/>
          <bgColor rgb="00FFD700"/>
        </patternFill>
      </fill>
    </dxf>
    <dxf>
      <fill>
        <patternFill patternType="solid">
          <fgColor rgb="009BC2E6"/>
          <bgColor rgb="009BC2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45" customWidth="1" min="3" max="3"/>
    <col width="16" customWidth="1" min="4" max="4"/>
    <col width="22" customWidth="1" min="5" max="5"/>
    <col width="20" customWidth="1" min="6" max="6"/>
    <col width="20" customWidth="1" min="7" max="7"/>
    <col width="16" customWidth="1" min="8" max="8"/>
    <col width="14" customWidth="1" min="9" max="9"/>
    <col width="30" customWidth="1" min="10" max="10"/>
  </cols>
  <sheetData>
    <row r="1">
      <c r="A1" s="1" t="inlineStr">
        <is>
          <t>Feature ID</t>
        </is>
      </c>
      <c r="B1" s="1" t="inlineStr">
        <is>
          <t>Feature Name</t>
        </is>
      </c>
      <c r="C1" s="1" t="inlineStr">
        <is>
          <t>Description</t>
        </is>
      </c>
      <c r="D1" s="1" t="inlineStr">
        <is>
          <t>Type (New/Enhanced)</t>
        </is>
      </c>
      <c r="E1" s="1" t="inlineStr">
        <is>
          <t>Source (Commit/PR/Branch)</t>
        </is>
      </c>
      <c r="F1" s="1" t="inlineStr">
        <is>
          <t>Personas Affected</t>
        </is>
      </c>
      <c r="G1" s="1" t="inlineStr">
        <is>
          <t>Platforms Affected</t>
        </is>
      </c>
      <c r="H1" s="1" t="inlineStr">
        <is>
          <t>Complexity/Risk</t>
        </is>
      </c>
      <c r="I1" s="1" t="inlineStr">
        <is>
          <t>Selected for Review</t>
        </is>
      </c>
      <c r="J1" s="1" t="inlineStr">
        <is>
          <t>Notes</t>
        </is>
      </c>
    </row>
    <row r="2">
      <c r="A2" s="2" t="inlineStr">
        <is>
          <t>F-01</t>
        </is>
      </c>
      <c r="B2" s="2" t="inlineStr">
        <is>
          <t>Change Postpaid Plan journey</t>
        </is>
      </c>
      <c r="C2" s="2" t="inlineStr">
        <is>
          <t>Plans &amp; Numbers journey that moves one of a customer's existing postpaid lines to a different postpaid plan: Customer Identification (scan/MOI, eligibility, discounts), Select Line, Offers &amp; Plans, Add-ons, Checkout, CAF &amp; Signature, Payment. Built from the shared Capability Library.</t>
        </is>
      </c>
      <c r="D2" s="2" t="inlineStr">
        <is>
          <t>Enhanced</t>
        </is>
      </c>
      <c r="E2" s="2" t="inlineStr">
        <is>
          <t>Commits c26ad83 (journey built), 5ee6507, 0a53f9c; uncommitted: skipLineLimit option</t>
        </is>
      </c>
      <c r="F2" s="2" t="inlineStr">
        <is>
          <t>Retail Sales (ROLE-01), Telesales (ROLE-02), Field Sales (ROLE-04), Mass Market (ROLE-05), Premium (ROLE-12)</t>
        </is>
      </c>
      <c r="G2" s="2" t="inlineStr">
        <is>
          <t>Web, Tablet</t>
        </is>
      </c>
      <c r="H2" s="2" t="inlineStr">
        <is>
          <t>High: touches identity capture, eligibility, pricing, order creation, approval routing and mutates the installed asset's plan</t>
        </is>
      </c>
      <c r="I2" s="2" t="inlineStr">
        <is>
          <t>Yes</t>
        </is>
      </c>
      <c r="J2" s="2" t="inlineStr">
        <is>
          <t>Selection step skipped: the user named the journey. Requirements are largely INFERRED from code - no standalone spec exists for this journey.</t>
        </is>
      </c>
    </row>
  </sheetData>
  <autoFilter ref="A1:J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6" customWidth="1" min="3" max="3"/>
    <col width="40" customWidth="1" min="4" max="4"/>
    <col width="30" customWidth="1" min="5" max="5"/>
    <col width="35" customWidth="1" min="6" max="6"/>
    <col width="26" customWidth="1" min="7" max="7"/>
    <col width="20" customWidth="1" min="8" max="8"/>
    <col width="18" customWidth="1" min="9" max="9"/>
    <col width="18" customWidth="1" min="10" max="10"/>
    <col width="16" customWidth="1" min="11" max="11"/>
  </cols>
  <sheetData>
    <row r="1">
      <c r="A1" s="1" t="inlineStr">
        <is>
          <t>Req ID</t>
        </is>
      </c>
      <c r="B1" s="1" t="inlineStr">
        <is>
          <t>Feature ID</t>
        </is>
      </c>
      <c r="C1" s="1" t="inlineStr">
        <is>
          <t>Type</t>
        </is>
      </c>
      <c r="D1" s="1" t="inlineStr">
        <is>
          <t>Requirement / User Story</t>
        </is>
      </c>
      <c r="E1" s="1" t="inlineStr">
        <is>
          <t>Business Rule</t>
        </is>
      </c>
      <c r="F1" s="1" t="inlineStr">
        <is>
          <t>Acceptance Criteria</t>
        </is>
      </c>
      <c r="G1" s="1" t="inlineStr">
        <is>
          <t>Source Reference</t>
        </is>
      </c>
      <c r="H1" s="1" t="inlineStr">
        <is>
          <t>Role/Permission Scope</t>
        </is>
      </c>
      <c r="I1" s="1" t="inlineStr">
        <is>
          <t>Platform Requirement</t>
        </is>
      </c>
      <c r="J1" s="1" t="inlineStr">
        <is>
          <t>Linked Test IDs</t>
        </is>
      </c>
      <c r="K1" s="1" t="inlineStr">
        <is>
          <t>Coverage Status</t>
        </is>
      </c>
    </row>
    <row r="2">
      <c r="A2" s="2" t="inlineStr">
        <is>
          <t>R-01</t>
        </is>
      </c>
      <c r="B2" s="2" t="inlineStr">
        <is>
          <t>F-01</t>
        </is>
      </c>
      <c r="C2" s="2" t="inlineStr">
        <is>
          <t>Permission</t>
        </is>
      </c>
      <c r="D2" s="2" t="inlineStr">
        <is>
          <t>Only roles granted mobile.change-postpaid-plan (Create) can reach and run the journey, via Mobile Services &gt; Plans &amp; Numbers.</t>
        </is>
      </c>
      <c r="E2" s="2" t="inlineStr">
        <is>
          <t>Grant list is exhaustive: 5 of 26 roles.</t>
        </is>
      </c>
      <c r="F2" s="2" t="inlineStr">
        <is>
          <t>Given a role without the grant, When they open the journey, Then access is refused.</t>
        </is>
      </c>
      <c r="G2" s="2" t="inlineStr">
        <is>
          <t>public/config/personas.json (mobile.change-postpaid-plan); src/navigation/journeyCatalogue.ts:109; src/router.tsx:86</t>
        </is>
      </c>
      <c r="H2" s="2" t="inlineStr">
        <is>
          <t>ROLE-01, ROLE-02, ROLE-04, ROLE-05, ROLE-12 granted; 21 roles not</t>
        </is>
      </c>
      <c r="I2" s="2" t="inlineStr">
        <is>
          <t>Web, Tablet</t>
        </is>
      </c>
      <c r="J2" s="2" t="inlineStr">
        <is>
          <t>T-01,T-02,T-18,T-19</t>
        </is>
      </c>
      <c r="K2" s="2" t="inlineStr">
        <is>
          <t>Covered</t>
        </is>
      </c>
    </row>
    <row r="3">
      <c r="A3" s="2" t="inlineStr">
        <is>
          <t>R-02</t>
        </is>
      </c>
      <c r="B3" s="2" t="inlineStr">
        <is>
          <t>F-01</t>
        </is>
      </c>
      <c r="C3" s="2" t="inlineStr">
        <is>
          <t>Workflow</t>
        </is>
      </c>
      <c r="D3" s="2" t="inlineStr">
        <is>
          <t>When a customer is already identified or selected (Customer 360, Customer Search, sidebar launch), the scanned document extracts and populates that customer's details.</t>
        </is>
      </c>
      <c r="E3" s="2" t="inlineStr">
        <is>
          <t>Scan resolves the acted-for customer's own document of the chosen ID type; a missing ID type is reported, not substituted.</t>
        </is>
      </c>
      <c r="F3" s="2" t="inlineStr">
        <is>
          <t>Given customer X selected, When the agent scans a QID, Then the card and MOI details are X's.</t>
        </is>
      </c>
      <c r="G3" s="2" t="inlineStr">
        <is>
          <t>User instruction 2026-10-18; src/components/patterns/useActedForCustomer.ts; useIdLookup.ts</t>
        </is>
      </c>
      <c r="H3" s="2" t="inlineStr">
        <is>
          <t>ROLE-01, ROLE-02, ROLE-04, ROLE-05, ROLE-12</t>
        </is>
      </c>
      <c r="I3" s="2" t="inlineStr">
        <is>
          <t>Web, Tablet</t>
        </is>
      </c>
      <c r="J3" s="2" t="inlineStr">
        <is>
          <t>T-03,T-04,T-05,T-20</t>
        </is>
      </c>
      <c r="K3" s="2" t="inlineStr">
        <is>
          <t>Covered</t>
        </is>
      </c>
    </row>
    <row r="4">
      <c r="A4" s="2" t="inlineStr">
        <is>
          <t>R-03</t>
        </is>
      </c>
      <c r="B4" s="2" t="inlineStr">
        <is>
          <t>F-01</t>
        </is>
      </c>
      <c r="C4" s="2" t="inlineStr">
        <is>
          <t>Business Rule</t>
        </is>
      </c>
      <c r="D4" s="2" t="inlineStr">
        <is>
          <t>Eligibility checks run on Customer Identification; the postpaid line limit does not apply to a plan change.</t>
        </is>
      </c>
      <c r="E4" s="2" t="inlineStr">
        <is>
          <t>BR-288 line cap skipped (skipLineLimit); blacklist, ID expiry and the other checks still apply.</t>
        </is>
      </c>
      <c r="F4" s="2" t="inlineStr">
        <is>
          <t>Given a customer at the 5-line limit, When identified, Then no 'Postpaid Line Limit Reached' notice and no Collection Team routing.</t>
        </is>
      </c>
      <c r="G4" s="2" t="inlineStr">
        <is>
          <t>User instruction 2026-10-18; src/capabilities/EligibilityGate/EligibilityGateStep.tsx; serviceChangeSteps.tsx</t>
        </is>
      </c>
      <c r="H4" s="2" t="inlineStr">
        <is>
          <t>ROLE-01, ROLE-02, ROLE-04, ROLE-05, ROLE-12</t>
        </is>
      </c>
      <c r="I4" s="2" t="inlineStr">
        <is>
          <t>Web, Tablet</t>
        </is>
      </c>
      <c r="J4" s="2" t="inlineStr">
        <is>
          <t>T-06,T-07,T-08</t>
        </is>
      </c>
      <c r="K4" s="2" t="inlineStr">
        <is>
          <t>Covered</t>
        </is>
      </c>
    </row>
    <row r="5">
      <c r="A5" s="2" t="inlineStr">
        <is>
          <t>R-04</t>
        </is>
      </c>
      <c r="B5" s="2" t="inlineStr">
        <is>
          <t>F-01</t>
        </is>
      </c>
      <c r="C5" s="2" t="inlineStr">
        <is>
          <t>Business Rule</t>
        </is>
      </c>
      <c r="D5" s="2" t="inlineStr">
        <is>
          <t>Only the customer's own live postpaid lines are offered; a line can be changed only when active, not barred and its billing profile not in collections.</t>
        </is>
      </c>
      <c r="E5" s="2" t="inlineStr">
        <is>
          <t>Line type from service name (classifyProductName), not promotion code.</t>
        </is>
      </c>
      <c r="F5" s="2" t="inlineStr">
        <is>
          <t>Given a customer with N postpaid lines, Then exactly N are offered; ineligible ones are disabled with a reason.</t>
        </is>
      </c>
      <c r="G5" s="2" t="inlineStr">
        <is>
          <t>src/components/patterns/lineSelectionModel.ts (cites Future Dated Orders training pack); tests/classification.test.mjs</t>
        </is>
      </c>
      <c r="H5" s="2" t="inlineStr">
        <is>
          <t>ROLE-01, ROLE-02, ROLE-04, ROLE-05, ROLE-12</t>
        </is>
      </c>
      <c r="I5" s="2" t="inlineStr">
        <is>
          <t>Web, Tablet</t>
        </is>
      </c>
      <c r="J5" s="2" t="inlineStr">
        <is>
          <t>T-09,T-10,T-11,T-21</t>
        </is>
      </c>
      <c r="K5" s="2" t="inlineStr">
        <is>
          <t>Covered</t>
        </is>
      </c>
    </row>
    <row r="6">
      <c r="A6" s="2" t="inlineStr">
        <is>
          <t>R-05</t>
        </is>
      </c>
      <c r="B6" s="2" t="inlineStr">
        <is>
          <t>F-01</t>
        </is>
      </c>
      <c r="C6" s="2" t="inlineStr">
        <is>
          <t>Business Rule</t>
        </is>
      </c>
      <c r="D6" s="2" t="inlineStr">
        <is>
          <t>The offered plans exclude the line's current plan.</t>
        </is>
      </c>
      <c r="E6" s="2" t="inlineStr">
        <is>
          <t>hiddenProductId = line's productId.</t>
        </is>
      </c>
      <c r="F6" s="2" t="inlineStr">
        <is>
          <t>Given a line on Postpaid Essential, Then Essential is not offered.</t>
        </is>
      </c>
      <c r="G6" s="2" t="inlineStr">
        <is>
          <t>src/modules/mobile-service-changes/serviceChangeSteps.tsx:84</t>
        </is>
      </c>
      <c r="H6" s="2" t="inlineStr">
        <is>
          <t>ROLE-01, ROLE-02, ROLE-04, ROLE-05, ROLE-12</t>
        </is>
      </c>
      <c r="I6" s="2" t="inlineStr">
        <is>
          <t>Web, Tablet</t>
        </is>
      </c>
      <c r="J6" s="2" t="inlineStr">
        <is>
          <t>T-12</t>
        </is>
      </c>
      <c r="K6" s="2" t="inlineStr">
        <is>
          <t>Covered</t>
        </is>
      </c>
    </row>
    <row r="7">
      <c r="A7" s="2" t="inlineStr">
        <is>
          <t>R-06</t>
        </is>
      </c>
      <c r="B7" s="2" t="inlineStr">
        <is>
          <t>F-01</t>
        </is>
      </c>
      <c r="C7" s="2" t="inlineStr">
        <is>
          <t>Business Rule</t>
        </is>
      </c>
      <c r="D7" s="2" t="inlineStr">
        <is>
          <t>Checkout prices the new plan like New Mobile Postpaid; nothing is payable today.</t>
        </is>
      </c>
      <c r="E7" s="2" t="inlineStr">
        <is>
          <t>monthlyCharges(plan, discount, add-ons); pro-rated first bill.</t>
        </is>
      </c>
      <c r="F7" s="2" t="inlineStr">
        <is>
          <t>Given Postpaid Extra chosen, Then plan rental QAR 145, VAT 5%, payable today QAR 0.</t>
        </is>
      </c>
      <c r="G7" s="2" t="inlineStr">
        <is>
          <t>src/modules/mobile-service-changes/submitServiceChangeOrder.ts; Inferred from code: no pricing spec found</t>
        </is>
      </c>
      <c r="H7" s="2" t="inlineStr">
        <is>
          <t>ROLE-01, ROLE-02, ROLE-04, ROLE-05, ROLE-12</t>
        </is>
      </c>
      <c r="I7" s="2" t="inlineStr">
        <is>
          <t>Web, Tablet</t>
        </is>
      </c>
      <c r="J7" s="2" t="inlineStr">
        <is>
          <t>T-13,T-22</t>
        </is>
      </c>
      <c r="K7" s="2" t="inlineStr">
        <is>
          <t>Partially Covered</t>
        </is>
      </c>
    </row>
    <row r="8">
      <c r="A8" s="2" t="inlineStr">
        <is>
          <t>R-07</t>
        </is>
      </c>
      <c r="B8" s="2" t="inlineStr">
        <is>
          <t>F-01</t>
        </is>
      </c>
      <c r="C8" s="2" t="inlineStr">
        <is>
          <t>Workflow</t>
        </is>
      </c>
      <c r="D8" s="2" t="inlineStr">
        <is>
          <t>CAF &amp; Signature (accepted terms + signature) is required before Payment.</t>
        </is>
      </c>
      <c r="E8" s="2" t="inlineStr">
        <is>
          <t>Continue disabled until terms accepted and signature saved.</t>
        </is>
      </c>
      <c r="F8" s="2" t="inlineStr">
        <is>
          <t>Given terms unticked or unsigned, Then Continue stays disabled.</t>
        </is>
      </c>
      <c r="G8" s="2" t="inlineStr">
        <is>
          <t>src/modules/mobile-service-changes/serviceChangeSteps.tsx (cafSignatureStep variant full); Inferred from code: gate behaviour</t>
        </is>
      </c>
      <c r="H8" s="2" t="inlineStr">
        <is>
          <t>ROLE-01, ROLE-02, ROLE-04, ROLE-05, ROLE-12</t>
        </is>
      </c>
      <c r="I8" s="2" t="inlineStr">
        <is>
          <t>Web, Tablet</t>
        </is>
      </c>
      <c r="J8" s="2" t="inlineStr">
        <is>
          <t>T-14,T-23</t>
        </is>
      </c>
      <c r="K8" s="2" t="inlineStr">
        <is>
          <t>Partially Covered</t>
        </is>
      </c>
    </row>
    <row r="9">
      <c r="A9" s="2" t="inlineStr">
        <is>
          <t>R-08</t>
        </is>
      </c>
      <c r="B9" s="2" t="inlineStr">
        <is>
          <t>F-01</t>
        </is>
      </c>
      <c r="C9" s="2" t="inlineStr">
        <is>
          <t>Workflow</t>
        </is>
      </c>
      <c r="D9" s="2" t="inlineStr">
        <is>
          <t>Payment shows a zero-value receipt and submits the order.</t>
        </is>
      </c>
      <c r="E9" s="2" t="inlineStr">
        <is>
          <t>paymentStep zeroValueReceipt + submitOnPaid.</t>
        </is>
      </c>
      <c r="F9" s="2" t="inlineStr">
        <is>
          <t>Given signed CAF, When payment step completes, Then the order is submitted and the confirmation shown.</t>
        </is>
      </c>
      <c r="G9" s="2" t="inlineStr">
        <is>
          <t>serviceChangeSteps.tsx; submitServiceChangeOrder.ts</t>
        </is>
      </c>
      <c r="H9" s="2" t="inlineStr">
        <is>
          <t>ROLE-01, ROLE-02, ROLE-04, ROLE-05, ROLE-12</t>
        </is>
      </c>
      <c r="I9" s="2" t="inlineStr">
        <is>
          <t>Web, Tablet</t>
        </is>
      </c>
      <c r="J9" s="2" t="inlineStr">
        <is>
          <t>T-15</t>
        </is>
      </c>
      <c r="K9" s="2" t="inlineStr">
        <is>
          <t>Partially Covered</t>
        </is>
      </c>
    </row>
    <row r="10">
      <c r="A10" s="2" t="inlineStr">
        <is>
          <t>R-09</t>
        </is>
      </c>
      <c r="B10" s="2" t="inlineStr">
        <is>
          <t>F-01</t>
        </is>
      </c>
      <c r="C10" s="2" t="inlineStr">
        <is>
          <t>Business Rule</t>
        </is>
      </c>
      <c r="D10" s="2" t="inlineStr">
        <is>
          <t>The order records type Plan Change / Post2Post against the chosen line, previous and new plan, line's billing profile, creator and eligibility customer.</t>
        </is>
      </c>
      <c r="E10" s="2" t="inlineStr">
        <is>
          <t>Submit refuses without an eligibility result or when the line is another customer's.</t>
        </is>
      </c>
      <c r="F10" s="2" t="inlineStr">
        <is>
          <t>Given a completed journey, Then an orders record exists with those fields.</t>
        </is>
      </c>
      <c r="G10" s="2" t="inlineStr">
        <is>
          <t>src/modules/mobile-service-changes/submitServiceChangeOrder.ts; tests/serviceChanges.test.mjs; tests/journeyGates.test.mjs</t>
        </is>
      </c>
      <c r="H10" s="2" t="inlineStr">
        <is>
          <t>ROLE-01, ROLE-02, ROLE-04, ROLE-05, ROLE-12</t>
        </is>
      </c>
      <c r="I10" s="2" t="inlineStr">
        <is>
          <t>Web, Tablet</t>
        </is>
      </c>
      <c r="J10" s="2" t="inlineStr">
        <is>
          <t>T-16,T-24</t>
        </is>
      </c>
      <c r="K10" s="2" t="inlineStr">
        <is>
          <t>Covered</t>
        </is>
      </c>
    </row>
    <row r="11">
      <c r="A11" s="2" t="inlineStr">
        <is>
          <t>R-10</t>
        </is>
      </c>
      <c r="B11" s="2" t="inlineStr">
        <is>
          <t>F-01</t>
        </is>
      </c>
      <c r="C11" s="2" t="inlineStr">
        <is>
          <t>Business Rule</t>
        </is>
      </c>
      <c r="D11" s="2" t="inlineStr">
        <is>
          <t>On completion the line moves to the new plan; a held order leaves it unchanged until approval applies it.</t>
        </is>
      </c>
      <c r="E11" s="2" t="inlineStr">
        <is>
          <t>applyLineChange on complete / on approval.</t>
        </is>
      </c>
      <c r="F11" s="2" t="inlineStr">
        <is>
          <t>Given complete order, Then the installed asset's product is the new plan.</t>
        </is>
      </c>
      <c r="G11" s="2" t="inlineStr">
        <is>
          <t>applyServiceChange.ts; tests/serviceChanges.test.mjs</t>
        </is>
      </c>
      <c r="H11" s="2" t="inlineStr">
        <is>
          <t>ROLE-01, ROLE-02, ROLE-04, ROLE-05, ROLE-12</t>
        </is>
      </c>
      <c r="I11" s="2" t="inlineStr">
        <is>
          <t>Web, Tablet</t>
        </is>
      </c>
      <c r="J11" s="2" t="inlineStr">
        <is>
          <t>T-16,T-17</t>
        </is>
      </c>
      <c r="K11" s="2" t="inlineStr">
        <is>
          <t>Covered</t>
        </is>
      </c>
    </row>
    <row r="12">
      <c r="A12" s="2" t="inlineStr">
        <is>
          <t>R-11</t>
        </is>
      </c>
      <c r="B12" s="2" t="inlineStr">
        <is>
          <t>F-01</t>
        </is>
      </c>
      <c r="C12" s="2" t="inlineStr">
        <is>
          <t>Business Rule</t>
        </is>
      </c>
      <c r="D12" s="2" t="inlineStr">
        <is>
          <t>An order needing a second look (manual ID, B2B2C, MADA/B2B2C discount, eligibility approval) is held and routed to Back Office Fulfilment; the creator cannot decide their own order.</t>
        </is>
      </c>
      <c r="E12" s="2" t="inlineStr">
        <is>
          <t>approval-matrix.json: Plan Change -&gt; Back Office Fulfilment; approvalAuthority 'own-order' block.</t>
        </is>
      </c>
      <c r="F12" s="2" t="inlineStr">
        <is>
          <t>Given a held Plan Change, Then only Back Office Fulfilment (not the creator) can decide.</t>
        </is>
      </c>
      <c r="G12" s="2" t="inlineStr">
        <is>
          <t>public/config/approval-matrix.json; src/engines/approvalAuthority.ts; tests/approvals.test.mjs</t>
        </is>
      </c>
      <c r="H12" s="2" t="inlineStr">
        <is>
          <t>ROLE-01, ROLE-02, ROLE-04, ROLE-05, ROLE-12; approver: Back Office Fulfilment</t>
        </is>
      </c>
      <c r="I12" s="2" t="inlineStr">
        <is>
          <t>Web</t>
        </is>
      </c>
      <c r="J12" s="2" t="inlineStr">
        <is>
          <t>T-17,T-25</t>
        </is>
      </c>
      <c r="K12" s="2" t="inlineStr">
        <is>
          <t>Covered</t>
        </is>
      </c>
    </row>
    <row r="13">
      <c r="A13" s="2" t="inlineStr">
        <is>
          <t>R-12</t>
        </is>
      </c>
      <c r="B13" s="2" t="inlineStr">
        <is>
          <t>F-01</t>
        </is>
      </c>
      <c r="C13" s="2" t="inlineStr">
        <is>
          <t>Workflow</t>
        </is>
      </c>
      <c r="D13" s="2" t="inlineStr">
        <is>
          <t>Step navigation is gated: a forward jump needs every step up to the target valid; a hard stop blocks it.</t>
        </is>
      </c>
      <c r="E13" s="2" t="inlineStr">
        <is>
          <t>forwardJumpAllowed.</t>
        </is>
      </c>
      <c r="F13" s="2" t="inlineStr">
        <is>
          <t>Given invalid step 2, When jumping to step 5, Then refused.</t>
        </is>
      </c>
      <c r="G13" s="2" t="inlineStr">
        <is>
          <t>src/components/patterns/wizard/wizardNavigation.ts; tests/journeyGates.test.mjs</t>
        </is>
      </c>
      <c r="H13" s="2" t="inlineStr">
        <is>
          <t>ROLE-01, ROLE-02, ROLE-04, ROLE-05, ROLE-12</t>
        </is>
      </c>
      <c r="I13" s="2" t="inlineStr">
        <is>
          <t>Web, Tablet</t>
        </is>
      </c>
      <c r="J13" s="2" t="inlineStr">
        <is>
          <t>T-26</t>
        </is>
      </c>
      <c r="K13" s="2" t="inlineStr">
        <is>
          <t>Covered</t>
        </is>
      </c>
    </row>
    <row r="14">
      <c r="A14" s="2" t="inlineStr">
        <is>
          <t>R-13</t>
        </is>
      </c>
      <c r="B14" s="2" t="inlineStr">
        <is>
          <t>F-01</t>
        </is>
      </c>
      <c r="C14" s="2" t="inlineStr">
        <is>
          <t>Platform Requirement</t>
        </is>
      </c>
      <c r="D14" s="2" t="inlineStr">
        <is>
          <t>The journey works on Web and Tablet with equivalent behaviour and usable touch targets.</t>
        </is>
      </c>
      <c r="E14" s="2" t="inlineStr">
        <is>
          <t>Device type fixed at mount.</t>
        </is>
      </c>
      <c r="F14" s="2" t="inlineStr">
        <is>
          <t>Given a 768px viewport, Then no horizontal overflow and controls are tappable.</t>
        </is>
      </c>
      <c r="G14" s="2" t="inlineStr">
        <is>
          <t>Project convention (data-device, --control-h tokens); Inferred from code: no stated breakpoint spec</t>
        </is>
      </c>
      <c r="H14" s="2" t="inlineStr">
        <is>
          <t>All</t>
        </is>
      </c>
      <c r="I14" s="2" t="inlineStr">
        <is>
          <t>Web, Tablet</t>
        </is>
      </c>
      <c r="J14" s="2" t="inlineStr">
        <is>
          <t>T-27,T-28</t>
        </is>
      </c>
      <c r="K14" s="2" t="inlineStr">
        <is>
          <t>Partially Covered</t>
        </is>
      </c>
    </row>
    <row r="15">
      <c r="A15" s="2" t="inlineStr">
        <is>
          <t>R-14</t>
        </is>
      </c>
      <c r="B15" s="2" t="inlineStr">
        <is>
          <t>F-01</t>
        </is>
      </c>
      <c r="C15" s="2" t="inlineStr">
        <is>
          <t>Business Rule</t>
        </is>
      </c>
      <c r="D15" s="2" t="inlineStr">
        <is>
          <t>Identity and contact details populated for the customer are that customer's own (name, DOB, nationality, email).</t>
        </is>
      </c>
      <c r="E15" s="2" t="inlineStr">
        <is>
          <t>Email for an existing customer comes from the Billing Profile.</t>
        </is>
      </c>
      <c r="F15" s="2" t="inlineStr">
        <is>
          <t>Given customer X, Then the email shown is X's.</t>
        </is>
      </c>
      <c r="G15" s="2" t="inlineStr">
        <is>
          <t>src/components/patterns/useIdLookup.ts (billing email); Inferred from code: no data spec</t>
        </is>
      </c>
      <c r="H15" s="2" t="inlineStr">
        <is>
          <t>ROLE-01, ROLE-02, ROLE-04, ROLE-05, ROLE-12</t>
        </is>
      </c>
      <c r="I15" s="2" t="inlineStr">
        <is>
          <t>Web, Tablet</t>
        </is>
      </c>
      <c r="J15" s="2" t="inlineStr">
        <is>
          <t>T-29</t>
        </is>
      </c>
      <c r="K15" s="2" t="inlineStr">
        <is>
          <t>Covered</t>
        </is>
      </c>
    </row>
  </sheetData>
  <autoFilter ref="A1:K1"/>
  <dataValidations count="1">
    <dataValidation sqref="K2:K15" showDropDown="0" showInputMessage="0" showErrorMessage="0" allowBlank="1" type="list">
      <formula1>"Covered,Partially Covered,Not Covered"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6"/>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4" customWidth="1" min="3" max="3"/>
    <col width="16" customWidth="1" min="4" max="4"/>
    <col width="28" customWidth="1" min="5" max="5"/>
    <col width="26" customWidth="1" min="6" max="6"/>
    <col width="34" customWidth="1" min="7" max="7"/>
    <col width="22" customWidth="1" min="8" max="8"/>
    <col width="30" customWidth="1" min="9" max="9"/>
    <col width="16" customWidth="1" min="10" max="10"/>
    <col width="14" customWidth="1" min="11" max="11"/>
    <col width="10" customWidth="1" min="12" max="12"/>
    <col width="18" customWidth="1" min="13" max="13"/>
    <col width="30" customWidth="1" min="14" max="14"/>
    <col width="26" customWidth="1" min="15" max="15"/>
    <col width="12" customWidth="1" min="16" max="16"/>
    <col width="30" customWidth="1" min="17" max="17"/>
    <col width="22" customWidth="1" min="18" max="18"/>
  </cols>
  <sheetData>
    <row r="1">
      <c r="A1" s="1" t="inlineStr">
        <is>
          <t>Test ID</t>
        </is>
      </c>
      <c r="B1" s="1" t="inlineStr">
        <is>
          <t>Feature ID</t>
        </is>
      </c>
      <c r="C1" s="1" t="inlineStr">
        <is>
          <t>Req ID(s)</t>
        </is>
      </c>
      <c r="D1" s="1" t="inlineStr">
        <is>
          <t>Category</t>
        </is>
      </c>
      <c r="E1" s="1" t="inlineStr">
        <is>
          <t>Title</t>
        </is>
      </c>
      <c r="F1" s="1" t="inlineStr">
        <is>
          <t>Preconditions</t>
        </is>
      </c>
      <c r="G1" s="1" t="inlineStr">
        <is>
          <t>Steps</t>
        </is>
      </c>
      <c r="H1" s="1" t="inlineStr">
        <is>
          <t>Test Data</t>
        </is>
      </c>
      <c r="I1" s="1" t="inlineStr">
        <is>
          <t>Expected Result</t>
        </is>
      </c>
      <c r="J1" s="1" t="inlineStr">
        <is>
          <t>Persona/Role</t>
        </is>
      </c>
      <c r="K1" s="1" t="inlineStr">
        <is>
          <t>Platform</t>
        </is>
      </c>
      <c r="L1" s="1" t="inlineStr">
        <is>
          <t>Priority</t>
        </is>
      </c>
      <c r="M1" s="1" t="inlineStr">
        <is>
          <t>Status</t>
        </is>
      </c>
      <c r="N1" s="1" t="inlineStr">
        <is>
          <t>Actual Result</t>
        </is>
      </c>
      <c r="O1" s="1" t="inlineStr">
        <is>
          <t>Evidence</t>
        </is>
      </c>
      <c r="P1" s="1" t="inlineStr">
        <is>
          <t>Severity</t>
        </is>
      </c>
      <c r="Q1" s="1" t="inlineStr">
        <is>
          <t>Recommended Remediation</t>
        </is>
      </c>
      <c r="R1" s="1" t="inlineStr">
        <is>
          <t>Notes</t>
        </is>
      </c>
    </row>
    <row r="2">
      <c r="A2" s="2" t="inlineStr">
        <is>
          <t>T-01</t>
        </is>
      </c>
      <c r="B2" s="2" t="inlineStr">
        <is>
          <t>F-01</t>
        </is>
      </c>
      <c r="C2" s="2" t="inlineStr">
        <is>
          <t>R-01</t>
        </is>
      </c>
      <c r="D2" s="2" t="inlineStr">
        <is>
          <t>Positive</t>
        </is>
      </c>
      <c r="E2" s="2" t="inlineStr">
        <is>
          <t>Granted role opens the journey from the menu</t>
        </is>
      </c>
      <c r="F2" s="2" t="inlineStr">
        <is>
          <t>Signed in as Retail Sales; CUST-3084 open</t>
        </is>
      </c>
      <c r="G2" s="2" t="inlineStr">
        <is>
          <t>1. Customer 360 &gt; Actions &gt; Plans &amp; Numbers
2. Select Change Postpaid Plan</t>
        </is>
      </c>
      <c r="H2" s="2" t="inlineStr">
        <is>
          <t>CUST-3084</t>
        </is>
      </c>
      <c r="I2" s="2" t="inlineStr">
        <is>
          <t>Journey opens at Step 1 Customer Identification</t>
        </is>
      </c>
      <c r="J2" s="2" t="inlineStr">
        <is>
          <t>Retail Sales (ROLE-01)</t>
        </is>
      </c>
      <c r="K2" s="2" t="inlineStr">
        <is>
          <t>Web</t>
        </is>
      </c>
      <c r="L2" s="2" t="inlineStr">
        <is>
          <t>P0</t>
        </is>
      </c>
      <c r="M2" s="2" t="inlineStr">
        <is>
          <t>Passed</t>
        </is>
      </c>
      <c r="N2" s="2" t="inlineStr">
        <is>
          <t>Opened at /mobile/change-postpaid-plan, Step 1 of 7: Customer Identification</t>
        </is>
      </c>
      <c r="O2" s="2" t="inlineStr">
        <is>
          <t>Live run 2026-10-18</t>
        </is>
      </c>
      <c r="P2" s="2" t="inlineStr"/>
      <c r="Q2" s="2" t="inlineStr"/>
      <c r="R2" s="2" t="inlineStr"/>
    </row>
    <row r="3">
      <c r="A3" s="2" t="inlineStr">
        <is>
          <t>T-02</t>
        </is>
      </c>
      <c r="B3" s="2" t="inlineStr">
        <is>
          <t>F-01</t>
        </is>
      </c>
      <c r="C3" s="2" t="inlineStr">
        <is>
          <t>R-01</t>
        </is>
      </c>
      <c r="D3" s="2" t="inlineStr">
        <is>
          <t>Negative</t>
        </is>
      </c>
      <c r="E3" s="2" t="inlineStr">
        <is>
          <t>Non-granted role cannot open the journey by URL</t>
        </is>
      </c>
      <c r="F3" s="2" t="inlineStr">
        <is>
          <t>Signed in as a role without the grant (21 of 26 roles)</t>
        </is>
      </c>
      <c r="G3" s="2" t="inlineStr">
        <is>
          <t>1. Type /mobile/change-postpaid-plan</t>
        </is>
      </c>
      <c r="H3" s="2" t="inlineStr">
        <is>
          <t>Any role without grant</t>
        </is>
      </c>
      <c r="I3" s="2" t="inlineStr">
        <is>
          <t>'No access' shown (as Administration does via RequireFeature)</t>
        </is>
      </c>
      <c r="J3" s="2" t="inlineStr">
        <is>
          <t>Role without grant</t>
        </is>
      </c>
      <c r="K3" s="2" t="inlineStr">
        <is>
          <t>Web</t>
        </is>
      </c>
      <c r="L3" s="2" t="inlineStr">
        <is>
          <t>P0</t>
        </is>
      </c>
      <c r="M3" s="2" t="inlineStr">
        <is>
          <t>Partially Implemented</t>
        </is>
      </c>
      <c r="N3" s="2" t="inlineStr">
        <is>
          <t>Not run live. Code: the route is not wrapped in RequireFeature (only /administration is), so the wizard renders for any signed-in role; only the menu hides it.</t>
        </is>
      </c>
      <c r="O3" s="2" t="inlineStr">
        <is>
          <t>src/router.tsx:86 vs :104; src/navigation/RequireFeature.tsx</t>
        </is>
      </c>
      <c r="P3" s="2" t="inlineStr">
        <is>
          <t>Medium</t>
        </is>
      </c>
      <c r="Q3" s="2" t="inlineStr">
        <is>
          <t>Wrap the three line-change routes in RequireFeature with their feature keys, or record that the persona layer is intentionally not a boundary.</t>
        </is>
      </c>
      <c r="R3" s="2" t="inlineStr">
        <is>
          <t>Project docs call the persona layer a demo affordance; a hidden menu item is still not enforcement.</t>
        </is>
      </c>
    </row>
    <row r="4">
      <c r="A4" s="2" t="inlineStr">
        <is>
          <t>T-03</t>
        </is>
      </c>
      <c r="B4" s="2" t="inlineStr">
        <is>
          <t>F-01</t>
        </is>
      </c>
      <c r="C4" s="2" t="inlineStr">
        <is>
          <t>R-02</t>
        </is>
      </c>
      <c r="D4" s="2" t="inlineStr">
        <is>
          <t>Positive</t>
        </is>
      </c>
      <c r="E4" s="2" t="inlineStr">
        <is>
          <t>Scan draws the selected customer's own QID</t>
        </is>
      </c>
      <c r="F4" s="2" t="inlineStr">
        <is>
          <t>CUST-3084 opened in Customer 360</t>
        </is>
      </c>
      <c r="G4" s="2" t="inlineStr">
        <is>
          <t>1. Open journey
2. Choose Qatar ID
3. Initiate scan</t>
        </is>
      </c>
      <c r="H4" s="2" t="inlineStr">
        <is>
          <t>CUST-3084</t>
        </is>
      </c>
      <c r="I4" s="2" t="inlineStr">
        <is>
          <t>Card shows Aisha Mohammed Khalid Al-Kuwari, QID 28911063400084</t>
        </is>
      </c>
      <c r="J4" s="2" t="inlineStr">
        <is>
          <t>Retail Sales (ROLE-01)</t>
        </is>
      </c>
      <c r="K4" s="2" t="inlineStr">
        <is>
          <t>Web</t>
        </is>
      </c>
      <c r="L4" s="2" t="inlineStr">
        <is>
          <t>P0</t>
        </is>
      </c>
      <c r="M4" s="2" t="inlineStr">
        <is>
          <t>Passed</t>
        </is>
      </c>
      <c r="N4" s="2" t="inlineStr">
        <is>
          <t>Card showed Aisha Mohammed Khalid Al-Kuwari, QID No. 28911063400084, expiry 30/06/2030</t>
        </is>
      </c>
      <c r="O4" s="2" t="inlineStr">
        <is>
          <t>Live run; tests/scanCustomer.test.mjs</t>
        </is>
      </c>
      <c r="P4" s="2" t="inlineStr"/>
      <c r="Q4" s="2" t="inlineStr"/>
      <c r="R4" s="2" t="inlineStr"/>
    </row>
    <row r="5">
      <c r="A5" s="2" t="inlineStr">
        <is>
          <t>T-04</t>
        </is>
      </c>
      <c r="B5" s="2" t="inlineStr">
        <is>
          <t>F-01</t>
        </is>
      </c>
      <c r="C5" s="2" t="inlineStr">
        <is>
          <t>R-02</t>
        </is>
      </c>
      <c r="D5" s="2" t="inlineStr">
        <is>
          <t>Positive</t>
        </is>
      </c>
      <c r="E5" s="2" t="inlineStr">
        <is>
          <t>Customer context persists for a sidebar-style launch</t>
        </is>
      </c>
      <c r="F5" s="2" t="inlineStr">
        <is>
          <t>CUST-3011 selected, no launch state</t>
        </is>
      </c>
      <c r="G5" s="2" t="inlineStr">
        <is>
          <t>1. Open CUST-3011
2. Go to the journey without using the Actions menu
3. Scan</t>
        </is>
      </c>
      <c r="H5" s="2" t="inlineStr">
        <is>
          <t>CUST-3011</t>
        </is>
      </c>
      <c r="I5" s="2" t="inlineStr">
        <is>
          <t>Rajesh Kumar Pillai's card</t>
        </is>
      </c>
      <c r="J5" s="2" t="inlineStr">
        <is>
          <t>Retail Sales (ROLE-01)</t>
        </is>
      </c>
      <c r="K5" s="2" t="inlineStr">
        <is>
          <t>Web</t>
        </is>
      </c>
      <c r="L5" s="2" t="inlineStr">
        <is>
          <t>P0</t>
        </is>
      </c>
      <c r="M5" s="2" t="inlineStr">
        <is>
          <t>Passed</t>
        </is>
      </c>
      <c r="N5" s="2" t="inlineStr">
        <is>
          <t>Card showed Rajesh Kumar Pillai, QID 28508035600011</t>
        </is>
      </c>
      <c r="O5" s="2" t="inlineStr">
        <is>
          <t>Live run earlier in session</t>
        </is>
      </c>
      <c r="P5" s="2" t="inlineStr"/>
      <c r="Q5" s="2" t="inlineStr"/>
      <c r="R5" s="2" t="inlineStr"/>
    </row>
    <row r="6">
      <c r="A6" s="2" t="inlineStr">
        <is>
          <t>T-05</t>
        </is>
      </c>
      <c r="B6" s="2" t="inlineStr">
        <is>
          <t>F-01</t>
        </is>
      </c>
      <c r="C6" s="2" t="inlineStr">
        <is>
          <t>R-02</t>
        </is>
      </c>
      <c r="D6" s="2" t="inlineStr">
        <is>
          <t>Negative</t>
        </is>
      </c>
      <c r="E6" s="2" t="inlineStr">
        <is>
          <t>Customer holds no document of the chosen type</t>
        </is>
      </c>
      <c r="F6" s="2" t="inlineStr">
        <is>
          <t>CUST-1002 (Passport only)</t>
        </is>
      </c>
      <c r="G6" s="2" t="inlineStr">
        <is>
          <t>1. Choose Qatar ID</t>
        </is>
      </c>
      <c r="H6" s="2" t="inlineStr">
        <is>
          <t>CUST-1002</t>
        </is>
      </c>
      <c r="I6" s="2" t="inlineStr">
        <is>
          <t>Panel states no QID on file and which types they hold; no mismatched card</t>
        </is>
      </c>
      <c r="J6" s="2" t="inlineStr">
        <is>
          <t>Retail Sales (ROLE-01)</t>
        </is>
      </c>
      <c r="K6" s="2" t="inlineStr">
        <is>
          <t>Web</t>
        </is>
      </c>
      <c r="L6" s="2" t="inlineStr">
        <is>
          <t>P1</t>
        </is>
      </c>
      <c r="M6" s="2" t="inlineStr">
        <is>
          <t>Passed</t>
        </is>
      </c>
      <c r="N6" s="2" t="inlineStr">
        <is>
          <t>'No Qatar ID (QID) on file for Bimal Bahadur Thapa. They hold: Passport.'</t>
        </is>
      </c>
      <c r="O6" s="2" t="inlineStr">
        <is>
          <t>Live run</t>
        </is>
      </c>
      <c r="P6" s="2" t="inlineStr"/>
      <c r="Q6" s="2" t="inlineStr"/>
      <c r="R6" s="2" t="inlineStr"/>
    </row>
    <row r="7">
      <c r="A7" s="2" t="inlineStr">
        <is>
          <t>T-06</t>
        </is>
      </c>
      <c r="B7" s="2" t="inlineStr">
        <is>
          <t>F-01</t>
        </is>
      </c>
      <c r="C7" s="2" t="inlineStr">
        <is>
          <t>R-03</t>
        </is>
      </c>
      <c r="D7" s="2" t="inlineStr">
        <is>
          <t>Positive</t>
        </is>
      </c>
      <c r="E7" s="2" t="inlineStr">
        <is>
          <t>Line limit notice absent for a 5-line customer</t>
        </is>
      </c>
      <c r="F7" s="2" t="inlineStr">
        <is>
          <t>CUST-3084 (5+ postpaid lines)</t>
        </is>
      </c>
      <c r="G7" s="2" t="inlineStr">
        <is>
          <t>1. Identify via scan and Fetch</t>
        </is>
      </c>
      <c r="H7" s="2" t="inlineStr">
        <is>
          <t>CUST-3084</t>
        </is>
      </c>
      <c r="I7" s="2" t="inlineStr">
        <is>
          <t>No 'Postpaid Line Limit Reached'; Continue enabled</t>
        </is>
      </c>
      <c r="J7" s="2" t="inlineStr">
        <is>
          <t>Retail Sales (ROLE-01)</t>
        </is>
      </c>
      <c r="K7" s="2" t="inlineStr">
        <is>
          <t>Web</t>
        </is>
      </c>
      <c r="L7" s="2" t="inlineStr">
        <is>
          <t>P0</t>
        </is>
      </c>
      <c r="M7" s="2" t="inlineStr">
        <is>
          <t>Passed</t>
        </is>
      </c>
      <c r="N7" s="2" t="inlineStr">
        <is>
          <t>Identity fetched, no line limit notice, Continue enabled</t>
        </is>
      </c>
      <c r="O7" s="2" t="inlineStr">
        <is>
          <t>Live run; tests/scanCustomer.test.mjs</t>
        </is>
      </c>
      <c r="P7" s="2" t="inlineStr"/>
      <c r="Q7" s="2" t="inlineStr"/>
      <c r="R7" s="2" t="inlineStr"/>
    </row>
    <row r="8">
      <c r="A8" s="2" t="inlineStr">
        <is>
          <t>T-07</t>
        </is>
      </c>
      <c r="B8" s="2" t="inlineStr">
        <is>
          <t>F-01</t>
        </is>
      </c>
      <c r="C8" s="2" t="inlineStr">
        <is>
          <t>R-03</t>
        </is>
      </c>
      <c r="D8" s="2" t="inlineStr">
        <is>
          <t>Regression</t>
        </is>
      </c>
      <c r="E8" s="2" t="inlineStr">
        <is>
          <t>Line limit still applies in the other journeys</t>
        </is>
      </c>
      <c r="F8" s="2" t="inlineStr">
        <is>
          <t>CUST-3084</t>
        </is>
      </c>
      <c r="G8" s="2" t="inlineStr">
        <is>
          <t>1. Run New Mobile Postpaid / Add Add-On identification</t>
        </is>
      </c>
      <c r="H8" s="2" t="inlineStr">
        <is>
          <t>CUST-3084</t>
        </is>
      </c>
      <c r="I8" s="2" t="inlineStr">
        <is>
          <t>Notice still shown where a line is added</t>
        </is>
      </c>
      <c r="J8" s="2" t="inlineStr">
        <is>
          <t>Retail Sales (ROLE-01)</t>
        </is>
      </c>
      <c r="K8" s="2" t="inlineStr">
        <is>
          <t>Web</t>
        </is>
      </c>
      <c r="L8" s="2" t="inlineStr">
        <is>
          <t>P1</t>
        </is>
      </c>
      <c r="M8" s="2" t="inlineStr">
        <is>
          <t>Passed</t>
        </is>
      </c>
      <c r="N8" s="2" t="inlineStr">
        <is>
          <t>Option is only set for Change Postpaid Plan (single use in serviceChangeSteps.tsx); other journeys unchanged</t>
        </is>
      </c>
      <c r="O8" s="2" t="inlineStr">
        <is>
          <t>tests/scanCustomer.test.mjs; code</t>
        </is>
      </c>
      <c r="P8" s="2" t="inlineStr"/>
      <c r="Q8" s="2" t="inlineStr"/>
      <c r="R8" s="2" t="inlineStr">
        <is>
          <t>Live check of the other journeys not run</t>
        </is>
      </c>
    </row>
    <row r="9">
      <c r="A9" s="2" t="inlineStr">
        <is>
          <t>T-08</t>
        </is>
      </c>
      <c r="B9" s="2" t="inlineStr">
        <is>
          <t>F-01</t>
        </is>
      </c>
      <c r="C9" s="2" t="inlineStr">
        <is>
          <t>R-03</t>
        </is>
      </c>
      <c r="D9" s="2" t="inlineStr">
        <is>
          <t>Negative</t>
        </is>
      </c>
      <c r="E9" s="2" t="inlineStr">
        <is>
          <t>Blacklisted / expired-ID customer is still stopped</t>
        </is>
      </c>
      <c r="F9" s="2" t="inlineStr">
        <is>
          <t>Customer with expired ID (CUST-1006) or blacklist</t>
        </is>
      </c>
      <c r="G9" s="2" t="inlineStr">
        <is>
          <t>1. Identify</t>
        </is>
      </c>
      <c r="H9" s="2" t="inlineStr">
        <is>
          <t>CUST-1006</t>
        </is>
      </c>
      <c r="I9" s="2" t="inlineStr">
        <is>
          <t>Hard stop; no forward jump</t>
        </is>
      </c>
      <c r="J9" s="2" t="inlineStr">
        <is>
          <t>Retail Sales</t>
        </is>
      </c>
      <c r="K9" s="2" t="inlineStr">
        <is>
          <t>Web</t>
        </is>
      </c>
      <c r="L9" s="2" t="inlineStr">
        <is>
          <t>P1</t>
        </is>
      </c>
      <c r="M9" s="2" t="inlineStr">
        <is>
          <t>Passed</t>
        </is>
      </c>
      <c r="N9" s="2" t="inlineStr">
        <is>
          <t>Covered by existing tests: hard stop blocks forward jump in this journey</t>
        </is>
      </c>
      <c r="O9" s="2" t="inlineStr">
        <is>
          <t>tests/journeyGates.test.mjs; tests/journeys.test.mjs</t>
        </is>
      </c>
      <c r="P9" s="2" t="inlineStr"/>
      <c r="Q9" s="2" t="inlineStr"/>
      <c r="R9" s="2" t="inlineStr">
        <is>
          <t>Not re-run live</t>
        </is>
      </c>
    </row>
    <row r="10">
      <c r="A10" s="2" t="inlineStr">
        <is>
          <t>T-09</t>
        </is>
      </c>
      <c r="B10" s="2" t="inlineStr">
        <is>
          <t>F-01</t>
        </is>
      </c>
      <c r="C10" s="2" t="inlineStr">
        <is>
          <t>R-04</t>
        </is>
      </c>
      <c r="D10" s="2" t="inlineStr">
        <is>
          <t>Positive</t>
        </is>
      </c>
      <c r="E10" s="2" t="inlineStr">
        <is>
          <t>All of the customer's postpaid lines are offered</t>
        </is>
      </c>
      <c r="F10" s="2" t="inlineStr">
        <is>
          <t>CUST-3084 identified</t>
        </is>
      </c>
      <c r="G10" s="2" t="inlineStr">
        <is>
          <t>1. Continue to Select Line</t>
        </is>
      </c>
      <c r="H10" s="2" t="inlineStr">
        <is>
          <t>CUST-3084 (6 postpaid lines)</t>
        </is>
      </c>
      <c r="I10" s="2" t="inlineStr">
        <is>
          <t>Six lines listed</t>
        </is>
      </c>
      <c r="J10" s="2" t="inlineStr">
        <is>
          <t>Retail Sales (ROLE-01)</t>
        </is>
      </c>
      <c r="K10" s="2" t="inlineStr">
        <is>
          <t>Web</t>
        </is>
      </c>
      <c r="L10" s="2" t="inlineStr">
        <is>
          <t>P0</t>
        </is>
      </c>
      <c r="M10" s="2" t="inlineStr">
        <is>
          <t>Passed</t>
        </is>
      </c>
      <c r="N10" s="2" t="inlineStr">
        <is>
          <t>Six lines listed (+97455520114-18, +97455513053), each with plan and price</t>
        </is>
      </c>
      <c r="O10" s="2" t="inlineStr">
        <is>
          <t>Live run; tests/serviceChanges.test.mjs</t>
        </is>
      </c>
      <c r="P10" s="2" t="inlineStr"/>
      <c r="Q10" s="2" t="inlineStr"/>
      <c r="R10" s="2" t="inlineStr"/>
    </row>
    <row r="11">
      <c r="A11" s="2" t="inlineStr">
        <is>
          <t>T-10</t>
        </is>
      </c>
      <c r="B11" s="2" t="inlineStr">
        <is>
          <t>F-01</t>
        </is>
      </c>
      <c r="C11" s="2" t="inlineStr">
        <is>
          <t>R-04</t>
        </is>
      </c>
      <c r="D11" s="2" t="inlineStr">
        <is>
          <t>Negative</t>
        </is>
      </c>
      <c r="E11" s="2" t="inlineStr">
        <is>
          <t>Barred / collections / inactive line cannot be chosen</t>
        </is>
      </c>
      <c r="F11" s="2" t="inlineStr">
        <is>
          <t>Customer with such a line</t>
        </is>
      </c>
      <c r="G11" s="2" t="inlineStr">
        <is>
          <t>1. Open Select Line</t>
        </is>
      </c>
      <c r="H11" s="2" t="inlineStr">
        <is>
          <t>Fixture lines</t>
        </is>
      </c>
      <c r="I11" s="2" t="inlineStr">
        <is>
          <t>Disabled with reason</t>
        </is>
      </c>
      <c r="J11" s="2" t="inlineStr">
        <is>
          <t>Retail Sales (ROLE-01)</t>
        </is>
      </c>
      <c r="K11" s="2" t="inlineStr">
        <is>
          <t>Web</t>
        </is>
      </c>
      <c r="L11" s="2" t="inlineStr">
        <is>
          <t>P1</t>
        </is>
      </c>
      <c r="M11" s="2" t="inlineStr">
        <is>
          <t>Passed</t>
        </is>
      </c>
      <c r="N11" s="2" t="inlineStr">
        <is>
          <t>Rule verified by unit test; buttons are disabled with a reason in the markup</t>
        </is>
      </c>
      <c r="O11" s="2" t="inlineStr">
        <is>
          <t>tests/serviceChanges.test.mjs; src/components/patterns/LineSelectionStep.tsx:59</t>
        </is>
      </c>
      <c r="P11" s="2" t="inlineStr"/>
      <c r="Q11" s="2" t="inlineStr"/>
      <c r="R11" s="2" t="inlineStr">
        <is>
          <t>No seeded customer showed a disabled line live</t>
        </is>
      </c>
    </row>
    <row r="12">
      <c r="A12" s="2" t="inlineStr">
        <is>
          <t>T-11</t>
        </is>
      </c>
      <c r="B12" s="2" t="inlineStr">
        <is>
          <t>F-01</t>
        </is>
      </c>
      <c r="C12" s="2" t="inlineStr">
        <is>
          <t>R-04</t>
        </is>
      </c>
      <c r="D12" s="2" t="inlineStr">
        <is>
          <t>Data Validation</t>
        </is>
      </c>
      <c r="E12" s="2" t="inlineStr">
        <is>
          <t>Line type comes from the service name, not the promotion code</t>
        </is>
      </c>
      <c r="F12" s="2" t="inlineStr">
        <is>
          <t>Customers with FWA-coded postpaid lines</t>
        </is>
      </c>
      <c r="G12" s="2" t="inlineStr">
        <is>
          <t>1. Compare offered lines to Customer 360</t>
        </is>
      </c>
      <c r="H12" s="2" t="inlineStr">
        <is>
          <t>Whole dataset</t>
        </is>
      </c>
      <c r="I12" s="2" t="inlineStr">
        <is>
          <t>Offered + excluded = original</t>
        </is>
      </c>
      <c r="J12" s="2" t="inlineStr">
        <is>
          <t>Retail Sales (ROLE-01)</t>
        </is>
      </c>
      <c r="K12" s="2" t="inlineStr">
        <is>
          <t>Web</t>
        </is>
      </c>
      <c r="L12" s="2" t="inlineStr">
        <is>
          <t>P1</t>
        </is>
      </c>
      <c r="M12" s="2" t="inlineStr">
        <is>
          <t>Passed</t>
        </is>
      </c>
      <c r="N12" s="2" t="inlineStr">
        <is>
          <t>Whole-population classification test passes</t>
        </is>
      </c>
      <c r="O12" s="2" t="inlineStr">
        <is>
          <t>tests/classification.test.mjs</t>
        </is>
      </c>
      <c r="P12" s="2" t="inlineStr"/>
      <c r="Q12" s="2" t="inlineStr"/>
      <c r="R12" s="2" t="inlineStr"/>
    </row>
    <row r="13">
      <c r="A13" s="2" t="inlineStr">
        <is>
          <t>T-12</t>
        </is>
      </c>
      <c r="B13" s="2" t="inlineStr">
        <is>
          <t>F-01</t>
        </is>
      </c>
      <c r="C13" s="2" t="inlineStr">
        <is>
          <t>R-05</t>
        </is>
      </c>
      <c r="D13" s="2" t="inlineStr">
        <is>
          <t>Positive</t>
        </is>
      </c>
      <c r="E13" s="2" t="inlineStr">
        <is>
          <t>Current plan is not offered</t>
        </is>
      </c>
      <c r="F13" s="2" t="inlineStr">
        <is>
          <t>Line on Postpaid Essential chosen</t>
        </is>
      </c>
      <c r="G13" s="2" t="inlineStr">
        <is>
          <t>1. Select +97455513053
2. Continue</t>
        </is>
      </c>
      <c r="H13" s="2" t="inlineStr">
        <is>
          <t>+97455513053</t>
        </is>
      </c>
      <c r="I13" s="2" t="inlineStr">
        <is>
          <t>Essential absent from plan cards</t>
        </is>
      </c>
      <c r="J13" s="2" t="inlineStr">
        <is>
          <t>Retail Sales (ROLE-01)</t>
        </is>
      </c>
      <c r="K13" s="2" t="inlineStr">
        <is>
          <t>Web</t>
        </is>
      </c>
      <c r="L13" s="2" t="inlineStr">
        <is>
          <t>P0</t>
        </is>
      </c>
      <c r="M13" s="2" t="inlineStr">
        <is>
          <t>Passed</t>
        </is>
      </c>
      <c r="N13" s="2" t="inlineStr">
        <is>
          <t>Plans offered: Extra, Max, Unlimited, Unlimited Premium, Platinum, VIP; Essential absent</t>
        </is>
      </c>
      <c r="O13" s="2" t="inlineStr">
        <is>
          <t>Live run</t>
        </is>
      </c>
      <c r="P13" s="2" t="inlineStr"/>
      <c r="Q13" s="2" t="inlineStr"/>
      <c r="R13" s="2" t="inlineStr"/>
    </row>
    <row r="14">
      <c r="A14" s="2" t="inlineStr">
        <is>
          <t>T-13</t>
        </is>
      </c>
      <c r="B14" s="2" t="inlineStr">
        <is>
          <t>F-01</t>
        </is>
      </c>
      <c r="C14" s="2" t="inlineStr">
        <is>
          <t>R-06</t>
        </is>
      </c>
      <c r="D14" s="2" t="inlineStr">
        <is>
          <t>Positive</t>
        </is>
      </c>
      <c r="E14" s="2" t="inlineStr">
        <is>
          <t>Checkout prices Postpaid Extra</t>
        </is>
      </c>
      <c r="F14" s="2" t="inlineStr">
        <is>
          <t>Plan Extra chosen</t>
        </is>
      </c>
      <c r="G14" s="2" t="inlineStr">
        <is>
          <t>1. Add-ons &gt; Continue
2. Read Checkout</t>
        </is>
      </c>
      <c r="H14" s="2" t="inlineStr">
        <is>
          <t>Postpaid Extra QAR 145</t>
        </is>
      </c>
      <c r="I14" s="2" t="inlineStr">
        <is>
          <t>Rental 145, VAT 5% 7.25, payable today 0</t>
        </is>
      </c>
      <c r="J14" s="2" t="inlineStr">
        <is>
          <t>Retail Sales (ROLE-01)</t>
        </is>
      </c>
      <c r="K14" s="2" t="inlineStr">
        <is>
          <t>Web</t>
        </is>
      </c>
      <c r="L14" s="2" t="inlineStr">
        <is>
          <t>P0</t>
        </is>
      </c>
      <c r="M14" s="2" t="inlineStr">
        <is>
          <t>Partially Implemented</t>
        </is>
      </c>
      <c r="N14" s="2" t="inlineStr">
        <is>
          <t>Rental QAR 145, VAT QAR 7.25, payable today QAR 0, first bill QAR 68.76 (pro-rated), second QAR 152.25. Also shows 'Lock-in Period 3 months', 'HRN Advance', 'Bill limit Up to QAR 1000' (plan card says QAR 145).</t>
        </is>
      </c>
      <c r="O14" s="2" t="inlineStr">
        <is>
          <t>Live run</t>
        </is>
      </c>
      <c r="P14" s="2" t="inlineStr">
        <is>
          <t>Medium</t>
        </is>
      </c>
      <c r="Q14" s="2" t="inlineStr">
        <is>
          <t>Confirm with the business which new-connection lines (lock-in, HRN, credit/bill limit) apply to a plan change; reconcile bill limit with the plan card.</t>
        </is>
      </c>
      <c r="R14" s="2" t="inlineStr">
        <is>
          <t>Pricing for plan change is inferred, not specified.</t>
        </is>
      </c>
    </row>
    <row r="15">
      <c r="A15" s="2" t="inlineStr">
        <is>
          <t>T-14</t>
        </is>
      </c>
      <c r="B15" s="2" t="inlineStr">
        <is>
          <t>F-01</t>
        </is>
      </c>
      <c r="C15" s="2" t="inlineStr">
        <is>
          <t>R-07</t>
        </is>
      </c>
      <c r="D15" s="2" t="inlineStr">
        <is>
          <t>Negative</t>
        </is>
      </c>
      <c r="E15" s="2" t="inlineStr">
        <is>
          <t>Cannot continue without terms and signature</t>
        </is>
      </c>
      <c r="F15" s="2" t="inlineStr">
        <is>
          <t>CAF step reached</t>
        </is>
      </c>
      <c r="G15" s="2" t="inlineStr">
        <is>
          <t>1. Observe Continue
2. Tick terms only</t>
        </is>
      </c>
      <c r="H15" s="2" t="inlineStr">
        <is>
          <t>-</t>
        </is>
      </c>
      <c r="I15" s="2" t="inlineStr">
        <is>
          <t>Continue disabled until signed</t>
        </is>
      </c>
      <c r="J15" s="2" t="inlineStr">
        <is>
          <t>Retail Sales (ROLE-01)</t>
        </is>
      </c>
      <c r="K15" s="2" t="inlineStr">
        <is>
          <t>Web</t>
        </is>
      </c>
      <c r="L15" s="2" t="inlineStr">
        <is>
          <t>P0</t>
        </is>
      </c>
      <c r="M15" s="2" t="inlineStr">
        <is>
          <t>Passed</t>
        </is>
      </c>
      <c r="N15" s="2" t="inlineStr">
        <is>
          <t>Continue disabled with terms ticked and no signature</t>
        </is>
      </c>
      <c r="O15" s="2" t="inlineStr">
        <is>
          <t>Live run</t>
        </is>
      </c>
      <c r="P15" s="2" t="inlineStr"/>
      <c r="Q15" s="2" t="inlineStr"/>
      <c r="R15" s="2" t="inlineStr"/>
    </row>
    <row r="16">
      <c r="A16" s="2" t="inlineStr">
        <is>
          <t>T-15</t>
        </is>
      </c>
      <c r="B16" s="2" t="inlineStr">
        <is>
          <t>F-01</t>
        </is>
      </c>
      <c r="C16" s="2" t="inlineStr">
        <is>
          <t>R-08</t>
        </is>
      </c>
      <c r="D16" s="2" t="inlineStr">
        <is>
          <t>End-to-End</t>
        </is>
      </c>
      <c r="E16" s="2" t="inlineStr">
        <is>
          <t>Sign, pay and submit; confirmation shown</t>
        </is>
      </c>
      <c r="F16" s="2" t="inlineStr">
        <is>
          <t>CAF step reached</t>
        </is>
      </c>
      <c r="G16" s="2" t="inlineStr">
        <is>
          <t>1. Sign, Save
2. Continue
3. Payment</t>
        </is>
      </c>
      <c r="H16" s="2" t="inlineStr">
        <is>
          <t>-</t>
        </is>
      </c>
      <c r="I16" s="2" t="inlineStr">
        <is>
          <t>Zero-value receipt, order submitted</t>
        </is>
      </c>
      <c r="J16" s="2" t="inlineStr">
        <is>
          <t>Retail Sales</t>
        </is>
      </c>
      <c r="K16" s="2" t="inlineStr">
        <is>
          <t>Web</t>
        </is>
      </c>
      <c r="L16" s="2" t="inlineStr">
        <is>
          <t>P0</t>
        </is>
      </c>
      <c r="M16" s="2" t="inlineStr">
        <is>
          <t>Blocked</t>
        </is>
      </c>
      <c r="N16" s="2" t="inlineStr">
        <is>
          <t>Could not draw a signature: the canvas ignores synthetic pointer/mouse events, so CAF, Payment and the confirmation page were not reached live.</t>
        </is>
      </c>
      <c r="O16" s="2" t="inlineStr">
        <is>
          <t>Live run (blocked at CAF)</t>
        </is>
      </c>
      <c r="P16" s="2" t="inlineStr"/>
      <c r="Q16" s="2" t="inlineStr">
        <is>
          <t>Run manually with a real pointer; submit logic is covered by tests T-16/T-24.</t>
        </is>
      </c>
      <c r="R16" s="2" t="inlineStr"/>
    </row>
    <row r="17">
      <c r="A17" s="2" t="inlineStr">
        <is>
          <t>T-16</t>
        </is>
      </c>
      <c r="B17" s="2" t="inlineStr">
        <is>
          <t>F-01</t>
        </is>
      </c>
      <c r="C17" s="2" t="inlineStr">
        <is>
          <t>R-09,R-10</t>
        </is>
      </c>
      <c r="D17" s="2" t="inlineStr">
        <is>
          <t>Integration</t>
        </is>
      </c>
      <c r="E17" s="2" t="inlineStr">
        <is>
          <t>Completed order is recorded and moves the line</t>
        </is>
      </c>
      <c r="F17" s="2" t="inlineStr">
        <is>
          <t>Auto-approved customer</t>
        </is>
      </c>
      <c r="G17" s="2" t="inlineStr">
        <is>
          <t>1. Submit plan change</t>
        </is>
      </c>
      <c r="H17" s="2" t="inlineStr">
        <is>
          <t>Fixture line</t>
        </is>
      </c>
      <c r="I17" s="2" t="inlineStr">
        <is>
          <t>orders record Plan Change/Post2Post; line product = new plan</t>
        </is>
      </c>
      <c r="J17" s="2" t="inlineStr">
        <is>
          <t>Retail Sales (ROLE-01)</t>
        </is>
      </c>
      <c r="K17" s="2" t="inlineStr">
        <is>
          <t>Web</t>
        </is>
      </c>
      <c r="L17" s="2" t="inlineStr">
        <is>
          <t>P0</t>
        </is>
      </c>
      <c r="M17" s="2" t="inlineStr">
        <is>
          <t>Passed</t>
        </is>
      </c>
      <c r="N17" s="2" t="inlineStr">
        <is>
          <t>Order recorded with expected fields; installed asset product updated</t>
        </is>
      </c>
      <c r="O17" s="2" t="inlineStr">
        <is>
          <t>tests/serviceChanges.test.mjs (completed plan change)</t>
        </is>
      </c>
      <c r="P17" s="2" t="inlineStr"/>
      <c r="Q17" s="2" t="inlineStr"/>
      <c r="R17" s="2" t="inlineStr">
        <is>
          <t>Not exercised live (see T-15)</t>
        </is>
      </c>
    </row>
    <row r="18">
      <c r="A18" s="2" t="inlineStr">
        <is>
          <t>T-17</t>
        </is>
      </c>
      <c r="B18" s="2" t="inlineStr">
        <is>
          <t>F-01</t>
        </is>
      </c>
      <c r="C18" s="2" t="inlineStr">
        <is>
          <t>R-10,R-11</t>
        </is>
      </c>
      <c r="D18" s="2" t="inlineStr">
        <is>
          <t>Integration</t>
        </is>
      </c>
      <c r="E18" s="2" t="inlineStr">
        <is>
          <t>Held order leaves the line unchanged; approval applies it</t>
        </is>
      </c>
      <c r="F18" s="2" t="inlineStr">
        <is>
          <t>Customer needing approval</t>
        </is>
      </c>
      <c r="G18" s="2" t="inlineStr">
        <is>
          <t>1. Submit
2. Approver approves</t>
        </is>
      </c>
      <c r="H18" s="2" t="inlineStr">
        <is>
          <t>MADA discount / manual ID</t>
        </is>
      </c>
      <c r="I18" s="2" t="inlineStr">
        <is>
          <t>Status Submitted for Approval; line unchanged until approved</t>
        </is>
      </c>
      <c r="J18" s="2" t="inlineStr">
        <is>
          <t>Retail Sales (ROLE-01)</t>
        </is>
      </c>
      <c r="K18" s="2" t="inlineStr">
        <is>
          <t>Web</t>
        </is>
      </c>
      <c r="L18" s="2" t="inlineStr">
        <is>
          <t>P0</t>
        </is>
      </c>
      <c r="M18" s="2" t="inlineStr">
        <is>
          <t>Passed</t>
        </is>
      </c>
      <c r="N18" s="2" t="inlineStr">
        <is>
          <t>Held order leaves the line; approval applies it</t>
        </is>
      </c>
      <c r="O18" s="2" t="inlineStr">
        <is>
          <t>tests/serviceChanges.test.mjs; tests/approvals.test.mjs</t>
        </is>
      </c>
      <c r="P18" s="2" t="inlineStr"/>
      <c r="Q18" s="2" t="inlineStr"/>
      <c r="R18" s="2" t="inlineStr"/>
    </row>
    <row r="19">
      <c r="A19" s="2" t="inlineStr">
        <is>
          <t>T-18</t>
        </is>
      </c>
      <c r="B19" s="2" t="inlineStr">
        <is>
          <t>F-01</t>
        </is>
      </c>
      <c r="C19" s="2" t="inlineStr">
        <is>
          <t>R-01</t>
        </is>
      </c>
      <c r="D19" s="2" t="inlineStr">
        <is>
          <t>Role-Based Access</t>
        </is>
      </c>
      <c r="E19" s="2" t="inlineStr">
        <is>
          <t>Granted roles: all five can start the journey</t>
        </is>
      </c>
      <c r="F19" s="2" t="inlineStr">
        <is>
          <t>Each of ROLE-01, 02, 04, 05, 12</t>
        </is>
      </c>
      <c r="G19" s="2" t="inlineStr">
        <is>
          <t>1. Sign in
2. Open journey</t>
        </is>
      </c>
      <c r="H19" s="2" t="inlineStr">
        <is>
          <t>-</t>
        </is>
      </c>
      <c r="I19" s="2" t="inlineStr">
        <is>
          <t>Reachable</t>
        </is>
      </c>
      <c r="J19" s="2" t="inlineStr">
        <is>
          <t>All five granted roles</t>
        </is>
      </c>
      <c r="K19" s="2" t="inlineStr">
        <is>
          <t>Web</t>
        </is>
      </c>
      <c r="L19" s="2" t="inlineStr">
        <is>
          <t>P1</t>
        </is>
      </c>
      <c r="M19" s="2" t="inlineStr">
        <is>
          <t>Passed</t>
        </is>
      </c>
      <c r="N19" s="2" t="inlineStr">
        <is>
          <t>Grant present for all five (personas.json); canUseFeature true</t>
        </is>
      </c>
      <c r="O19" s="2" t="inlineStr">
        <is>
          <t>tests/journeys.test.mjs; personas.json</t>
        </is>
      </c>
      <c r="P19" s="2" t="inlineStr"/>
      <c r="Q19" s="2" t="inlineStr"/>
      <c r="R19" s="2" t="inlineStr">
        <is>
          <t>Only Retail Sales exercised live</t>
        </is>
      </c>
    </row>
    <row r="20">
      <c r="A20" s="2" t="inlineStr">
        <is>
          <t>T-19</t>
        </is>
      </c>
      <c r="B20" s="2" t="inlineStr">
        <is>
          <t>F-01</t>
        </is>
      </c>
      <c r="C20" s="2" t="inlineStr">
        <is>
          <t>R-01</t>
        </is>
      </c>
      <c r="D20" s="2" t="inlineStr">
        <is>
          <t>Role-Based Access</t>
        </is>
      </c>
      <c r="E20" s="2" t="inlineStr">
        <is>
          <t>Journey card hidden from roles without the grant</t>
        </is>
      </c>
      <c r="F20" s="2" t="inlineStr">
        <is>
          <t>Role without grant</t>
        </is>
      </c>
      <c r="G20" s="2" t="inlineStr">
        <is>
          <t>1. Open Mobile Services &gt; Plans &amp; Numbers</t>
        </is>
      </c>
      <c r="H20" s="2" t="inlineStr">
        <is>
          <t>-</t>
        </is>
      </c>
      <c r="I20" s="2" t="inlineStr">
        <is>
          <t>Card absent</t>
        </is>
      </c>
      <c r="J20" s="2" t="inlineStr">
        <is>
          <t>Role without grant</t>
        </is>
      </c>
      <c r="K20" s="2" t="inlineStr">
        <is>
          <t>Web</t>
        </is>
      </c>
      <c r="L20" s="2" t="inlineStr">
        <is>
          <t>P1</t>
        </is>
      </c>
      <c r="M20" s="2" t="inlineStr">
        <is>
          <t>Not Applicable</t>
        </is>
      </c>
      <c r="N20" s="2" t="inlineStr">
        <is>
          <t>Superseded by T-02: menu hiding is not enforcement and is not tested separately.</t>
        </is>
      </c>
      <c r="O20" s="2" t="inlineStr">
        <is>
          <t>-</t>
        </is>
      </c>
      <c r="P20" s="2" t="inlineStr"/>
      <c r="Q20" s="2" t="inlineStr"/>
      <c r="R20" s="2" t="inlineStr"/>
    </row>
    <row r="21">
      <c r="A21" s="2" t="inlineStr">
        <is>
          <t>T-20</t>
        </is>
      </c>
      <c r="B21" s="2" t="inlineStr">
        <is>
          <t>F-01</t>
        </is>
      </c>
      <c r="C21" s="2" t="inlineStr">
        <is>
          <t>R-02</t>
        </is>
      </c>
      <c r="D21" s="2" t="inlineStr">
        <is>
          <t>Edge Case</t>
        </is>
      </c>
      <c r="E21" s="2" t="inlineStr">
        <is>
          <t>Selected customer overridden by a stale draft</t>
        </is>
      </c>
      <c r="F21" s="2" t="inlineStr">
        <is>
          <t>Draft left for customer A, customer B selected</t>
        </is>
      </c>
      <c r="G21" s="2" t="inlineStr">
        <is>
          <t>1. Abandon on A mid-journey
2. Select B
3. Reopen journey</t>
        </is>
      </c>
      <c r="H21" s="2" t="inlineStr">
        <is>
          <t>A, B</t>
        </is>
      </c>
      <c r="I21" s="2" t="inlineStr">
        <is>
          <t>Behaviour defined: either A's draft resumes locked to A or a fresh one starts for B</t>
        </is>
      </c>
      <c r="J21" s="2" t="inlineStr">
        <is>
          <t>Retail Sales (ROLE-01)</t>
        </is>
      </c>
      <c r="K21" s="2" t="inlineStr">
        <is>
          <t>Web</t>
        </is>
      </c>
      <c r="L21" s="2" t="inlineStr">
        <is>
          <t>P2</t>
        </is>
      </c>
      <c r="M21" s="2" t="inlineStr">
        <is>
          <t>Partially Implemented</t>
        </is>
      </c>
      <c r="N21" s="2" t="inlineStr">
        <is>
          <t>Observed: the journey resumed A's draft and header (locked to A) while B was selected; consistent with the customer lock, but nothing tells the agent that B is no longer the context.</t>
        </is>
      </c>
      <c r="O21" s="2" t="inlineStr">
        <is>
          <t>Live run (CUST-3004 draft, CUST-3084 selected)</t>
        </is>
      </c>
      <c r="P21" s="2" t="inlineStr">
        <is>
          <t>Low</t>
        </is>
      </c>
      <c r="Q21" s="2" t="inlineStr">
        <is>
          <t>Show a notice when a resumed draft belongs to a different customer than the one selected.</t>
        </is>
      </c>
      <c r="R21" s="2" t="inlineStr"/>
    </row>
    <row r="22">
      <c r="A22" s="2" t="inlineStr">
        <is>
          <t>T-21</t>
        </is>
      </c>
      <c r="B22" s="2" t="inlineStr">
        <is>
          <t>F-01</t>
        </is>
      </c>
      <c r="C22" s="2" t="inlineStr">
        <is>
          <t>R-04</t>
        </is>
      </c>
      <c r="D22" s="2" t="inlineStr">
        <is>
          <t>Boundary</t>
        </is>
      </c>
      <c r="E22" s="2" t="inlineStr">
        <is>
          <t>Customer with zero / one / 20+ postpaid lines</t>
        </is>
      </c>
      <c r="F22" s="2" t="inlineStr">
        <is>
          <t>Customers with 0, 1, 20 lines</t>
        </is>
      </c>
      <c r="G22" s="2" t="inlineStr">
        <is>
          <t>1. Open Select Line</t>
        </is>
      </c>
      <c r="H22" s="2" t="inlineStr">
        <is>
          <t>CUST-1001, CUST-3084, 20-line customer</t>
        </is>
      </c>
      <c r="I22" s="2" t="inlineStr">
        <is>
          <t>0: empty state; 1: one card; 20: all listed</t>
        </is>
      </c>
      <c r="J22" s="2" t="inlineStr">
        <is>
          <t>Retail Sales (ROLE-01)</t>
        </is>
      </c>
      <c r="K22" s="2" t="inlineStr">
        <is>
          <t>Web</t>
        </is>
      </c>
      <c r="L22" s="2" t="inlineStr">
        <is>
          <t>P1</t>
        </is>
      </c>
      <c r="M22" s="2" t="inlineStr">
        <is>
          <t>Passed</t>
        </is>
      </c>
      <c r="N22" s="2" t="inlineStr">
        <is>
          <t>Many-record and mixed-case checks pass; 6 lines shown live for CUST-3084</t>
        </is>
      </c>
      <c r="O22" s="2" t="inlineStr">
        <is>
          <t>tests/dataAssumptions.test.mjs; live run</t>
        </is>
      </c>
      <c r="P22" s="2" t="inlineStr"/>
      <c r="Q22" s="2" t="inlineStr"/>
      <c r="R22" s="2" t="inlineStr">
        <is>
          <t>No 20+ line customer opened live</t>
        </is>
      </c>
    </row>
    <row r="23">
      <c r="A23" s="2" t="inlineStr">
        <is>
          <t>T-22</t>
        </is>
      </c>
      <c r="B23" s="2" t="inlineStr">
        <is>
          <t>F-01</t>
        </is>
      </c>
      <c r="C23" s="2" t="inlineStr">
        <is>
          <t>R-06</t>
        </is>
      </c>
      <c r="D23" s="2" t="inlineStr">
        <is>
          <t>Boundary</t>
        </is>
      </c>
      <c r="E23" s="2" t="inlineStr">
        <is>
          <t>Plan at the lowest/highest price</t>
        </is>
      </c>
      <c r="F23" s="2" t="inlineStr">
        <is>
          <t>Postpaid Extra vs Platinum</t>
        </is>
      </c>
      <c r="G23" s="2" t="inlineStr">
        <is>
          <t>1. Choose each</t>
        </is>
      </c>
      <c r="H23" s="2" t="inlineStr">
        <is>
          <t>QAR 145, QAR 650</t>
        </is>
      </c>
      <c r="I23" s="2" t="inlineStr">
        <is>
          <t>Pricing and VAT scale correctly</t>
        </is>
      </c>
      <c r="J23" s="2" t="inlineStr">
        <is>
          <t>Retail Sales (ROLE-01)</t>
        </is>
      </c>
      <c r="K23" s="2" t="inlineStr">
        <is>
          <t>Web</t>
        </is>
      </c>
      <c r="L23" s="2" t="inlineStr">
        <is>
          <t>P2</t>
        </is>
      </c>
      <c r="M23" s="2" t="inlineStr">
        <is>
          <t>Blocked</t>
        </is>
      </c>
      <c r="N23" s="2" t="inlineStr">
        <is>
          <t>Only Postpaid Extra was priced live; no pricing specification exists to state expected values for other plans.</t>
        </is>
      </c>
      <c r="O23" s="2" t="inlineStr">
        <is>
          <t>-</t>
        </is>
      </c>
      <c r="P23" s="2" t="inlineStr"/>
      <c r="Q23" s="2" t="inlineStr">
        <is>
          <t>Provide the pricing reference (or confirm monthlyCharges logic is the specification).</t>
        </is>
      </c>
      <c r="R23" s="2" t="inlineStr"/>
    </row>
    <row r="24">
      <c r="A24" s="2" t="inlineStr">
        <is>
          <t>T-23</t>
        </is>
      </c>
      <c r="B24" s="2" t="inlineStr">
        <is>
          <t>F-01</t>
        </is>
      </c>
      <c r="C24" s="2" t="inlineStr">
        <is>
          <t>R-07</t>
        </is>
      </c>
      <c r="D24" s="2" t="inlineStr">
        <is>
          <t>Edge Case</t>
        </is>
      </c>
      <c r="E24" s="2" t="inlineStr">
        <is>
          <t>Clear and re-sign; reload mid-step</t>
        </is>
      </c>
      <c r="F24" s="2" t="inlineStr">
        <is>
          <t>CAF step</t>
        </is>
      </c>
      <c r="G24" s="2" t="inlineStr">
        <is>
          <t>1. Clear
2. Reload page</t>
        </is>
      </c>
      <c r="H24" s="2" t="inlineStr">
        <is>
          <t>-</t>
        </is>
      </c>
      <c r="I24" s="2" t="inlineStr">
        <is>
          <t>Draft resumes at CAF with state sensible</t>
        </is>
      </c>
      <c r="J24" s="2" t="inlineStr">
        <is>
          <t>Retail Sales (ROLE-01)</t>
        </is>
      </c>
      <c r="K24" s="2" t="inlineStr">
        <is>
          <t>Web</t>
        </is>
      </c>
      <c r="L24" s="2" t="inlineStr">
        <is>
          <t>P2</t>
        </is>
      </c>
      <c r="M24" s="2" t="inlineStr">
        <is>
          <t>Blocked</t>
        </is>
      </c>
      <c r="N24" s="2" t="inlineStr">
        <is>
          <t>Signature cannot be drawn by automation (see T-15).</t>
        </is>
      </c>
      <c r="O24" s="2" t="inlineStr">
        <is>
          <t>-</t>
        </is>
      </c>
      <c r="P24" s="2" t="inlineStr"/>
      <c r="Q24" s="2" t="inlineStr"/>
      <c r="R24" s="2" t="inlineStr"/>
    </row>
    <row r="25">
      <c r="A25" s="2" t="inlineStr">
        <is>
          <t>T-24</t>
        </is>
      </c>
      <c r="B25" s="2" t="inlineStr">
        <is>
          <t>F-01</t>
        </is>
      </c>
      <c r="C25" s="2" t="inlineStr">
        <is>
          <t>R-09</t>
        </is>
      </c>
      <c r="D25" s="2" t="inlineStr">
        <is>
          <t>Data Validation</t>
        </is>
      </c>
      <c r="E25" s="2" t="inlineStr">
        <is>
          <t>Submit refuses without eligibility or for another customer's line</t>
        </is>
      </c>
      <c r="F25" s="2" t="inlineStr">
        <is>
          <t>Tampered draft</t>
        </is>
      </c>
      <c r="G25" s="2" t="inlineStr">
        <is>
          <t>1. Submit with line of customer B after identifying A</t>
        </is>
      </c>
      <c r="H25" s="2" t="inlineStr">
        <is>
          <t>-</t>
        </is>
      </c>
      <c r="I25" s="2" t="inlineStr">
        <is>
          <t>Error; no order</t>
        </is>
      </c>
      <c r="J25" s="2" t="inlineStr">
        <is>
          <t>Retail Sales</t>
        </is>
      </c>
      <c r="K25" s="2" t="inlineStr">
        <is>
          <t>Web</t>
        </is>
      </c>
      <c r="L25" s="2" t="inlineStr">
        <is>
          <t>P0</t>
        </is>
      </c>
      <c r="M25" s="2" t="inlineStr">
        <is>
          <t>Passed</t>
        </is>
      </c>
      <c r="N25" s="2" t="inlineStr">
        <is>
          <t>Both submits throw; no order created</t>
        </is>
      </c>
      <c r="O25" s="2" t="inlineStr">
        <is>
          <t>tests/journeyGates.test.mjs</t>
        </is>
      </c>
      <c r="P25" s="2" t="inlineStr"/>
      <c r="Q25" s="2" t="inlineStr"/>
      <c r="R25" s="2" t="inlineStr"/>
    </row>
    <row r="26">
      <c r="A26" s="2" t="inlineStr">
        <is>
          <t>T-25</t>
        </is>
      </c>
      <c r="B26" s="2" t="inlineStr">
        <is>
          <t>F-01</t>
        </is>
      </c>
      <c r="C26" s="2" t="inlineStr">
        <is>
          <t>R-11</t>
        </is>
      </c>
      <c r="D26" s="2" t="inlineStr">
        <is>
          <t>Role-Based Access</t>
        </is>
      </c>
      <c r="E26" s="2" t="inlineStr">
        <is>
          <t>Creator cannot approve their own Plan Change; routed to Back Office Fulfilment</t>
        </is>
      </c>
      <c r="F26" s="2" t="inlineStr">
        <is>
          <t>Held Plan Change</t>
        </is>
      </c>
      <c r="G26" s="2" t="inlineStr">
        <is>
          <t>1. Open approval queue as creator
2. As Back Office Fulfilment</t>
        </is>
      </c>
      <c r="H26" s="2" t="inlineStr">
        <is>
          <t>-</t>
        </is>
      </c>
      <c r="I26" s="2" t="inlineStr">
        <is>
          <t>Creator blocked; BOF can decide</t>
        </is>
      </c>
      <c r="J26" s="2" t="inlineStr">
        <is>
          <t>Retail Sales / Back Office Fulfilment</t>
        </is>
      </c>
      <c r="K26" s="2" t="inlineStr">
        <is>
          <t>Web</t>
        </is>
      </c>
      <c r="L26" s="2" t="inlineStr">
        <is>
          <t>P0</t>
        </is>
      </c>
      <c r="M26" s="2" t="inlineStr">
        <is>
          <t>Passed</t>
        </is>
      </c>
      <c r="N26" s="2" t="inlineStr">
        <is>
          <t>'own-order' block and routing verified</t>
        </is>
      </c>
      <c r="O26" s="2" t="inlineStr">
        <is>
          <t>tests/approvals.test.mjs</t>
        </is>
      </c>
      <c r="P26" s="2" t="inlineStr"/>
      <c r="Q26" s="2" t="inlineStr"/>
      <c r="R26" s="2" t="inlineStr"/>
    </row>
    <row r="27">
      <c r="A27" s="2" t="inlineStr">
        <is>
          <t>T-26</t>
        </is>
      </c>
      <c r="B27" s="2" t="inlineStr">
        <is>
          <t>F-01</t>
        </is>
      </c>
      <c r="C27" s="2" t="inlineStr">
        <is>
          <t>R-12</t>
        </is>
      </c>
      <c r="D27" s="2" t="inlineStr">
        <is>
          <t>Negative</t>
        </is>
      </c>
      <c r="E27" s="2" t="inlineStr">
        <is>
          <t>Cannot jump forward past an invalid step</t>
        </is>
      </c>
      <c r="F27" s="2" t="inlineStr">
        <is>
          <t>Step 1 invalid</t>
        </is>
      </c>
      <c r="G27" s="2" t="inlineStr">
        <is>
          <t>1. Click a later step in the rail</t>
        </is>
      </c>
      <c r="H27" s="2" t="inlineStr">
        <is>
          <t>-</t>
        </is>
      </c>
      <c r="I27" s="2" t="inlineStr">
        <is>
          <t>Refused</t>
        </is>
      </c>
      <c r="J27" s="2" t="inlineStr">
        <is>
          <t>Retail Sales (ROLE-01)</t>
        </is>
      </c>
      <c r="K27" s="2" t="inlineStr">
        <is>
          <t>Web</t>
        </is>
      </c>
      <c r="L27" s="2" t="inlineStr">
        <is>
          <t>P1</t>
        </is>
      </c>
      <c r="M27" s="2" t="inlineStr">
        <is>
          <t>Passed</t>
        </is>
      </c>
      <c r="N27" s="2" t="inlineStr">
        <is>
          <t>Forward jump blocked; back allowed</t>
        </is>
      </c>
      <c r="O27" s="2" t="inlineStr">
        <is>
          <t>tests/journeyGates.test.mjs</t>
        </is>
      </c>
      <c r="P27" s="2" t="inlineStr"/>
      <c r="Q27" s="2" t="inlineStr"/>
      <c r="R27" s="2" t="inlineStr"/>
    </row>
    <row r="28">
      <c r="A28" s="2" t="inlineStr">
        <is>
          <t>T-27</t>
        </is>
      </c>
      <c r="B28" s="2" t="inlineStr">
        <is>
          <t>F-01</t>
        </is>
      </c>
      <c r="C28" s="2" t="inlineStr">
        <is>
          <t>R-13</t>
        </is>
      </c>
      <c r="D28" s="2" t="inlineStr">
        <is>
          <t>Responsiveness</t>
        </is>
      </c>
      <c r="E28" s="2" t="inlineStr">
        <is>
          <t>768px layout has no overflow</t>
        </is>
      </c>
      <c r="F28" s="2" t="inlineStr">
        <is>
          <t>CAF step</t>
        </is>
      </c>
      <c r="G28" s="2" t="inlineStr">
        <is>
          <t>1. Resize to 768x1024</t>
        </is>
      </c>
      <c r="H28" s="2" t="inlineStr">
        <is>
          <t>-</t>
        </is>
      </c>
      <c r="I28" s="2" t="inlineStr">
        <is>
          <t>No horizontal scroll, no clipped content</t>
        </is>
      </c>
      <c r="J28" s="2" t="inlineStr">
        <is>
          <t>Retail Sales (ROLE-01)</t>
        </is>
      </c>
      <c r="K28" s="2" t="inlineStr">
        <is>
          <t>Tablet</t>
        </is>
      </c>
      <c r="L28" s="2" t="inlineStr">
        <is>
          <t>P1</t>
        </is>
      </c>
      <c r="M28" s="2" t="inlineStr">
        <is>
          <t>Passed</t>
        </is>
      </c>
      <c r="N28" s="2" t="inlineStr">
        <is>
          <t>No horizontal overflow at 768px</t>
        </is>
      </c>
      <c r="O28" s="2" t="inlineStr">
        <is>
          <t>Live run (CAF step only)</t>
        </is>
      </c>
      <c r="P28" s="2" t="inlineStr"/>
      <c r="Q28" s="2" t="inlineStr"/>
      <c r="R28" s="2" t="inlineStr">
        <is>
          <t>Other steps not checked at tablet width</t>
        </is>
      </c>
    </row>
    <row r="29">
      <c r="A29" s="2" t="inlineStr">
        <is>
          <t>T-28</t>
        </is>
      </c>
      <c r="B29" s="2" t="inlineStr">
        <is>
          <t>F-01</t>
        </is>
      </c>
      <c r="C29" s="2" t="inlineStr">
        <is>
          <t>R-13</t>
        </is>
      </c>
      <c r="D29" s="2" t="inlineStr">
        <is>
          <t>Cross-Platform</t>
        </is>
      </c>
      <c r="E29" s="2" t="inlineStr">
        <is>
          <t>Touch targets at tablet width</t>
        </is>
      </c>
      <c r="F29" s="2" t="inlineStr">
        <is>
          <t>CAF step at 768px</t>
        </is>
      </c>
      <c r="G29" s="2" t="inlineStr">
        <is>
          <t>1. Measure buttons</t>
        </is>
      </c>
      <c r="H29" s="2" t="inlineStr">
        <is>
          <t>-</t>
        </is>
      </c>
      <c r="I29" s="2" t="inlineStr">
        <is>
          <t>Targets at least 44px (WCAG 2.5.5 / platform guidance)</t>
        </is>
      </c>
      <c r="J29" s="2" t="inlineStr">
        <is>
          <t>Retail Sales (ROLE-01)</t>
        </is>
      </c>
      <c r="K29" s="2" t="inlineStr">
        <is>
          <t>Tablet</t>
        </is>
      </c>
      <c r="L29" s="2" t="inlineStr">
        <is>
          <t>P2</t>
        </is>
      </c>
      <c r="M29" s="2" t="inlineStr">
        <is>
          <t>Partially Implemented</t>
        </is>
      </c>
      <c r="N29" s="2" t="inlineStr">
        <is>
          <t>Smallest button 39px high</t>
        </is>
      </c>
      <c r="O29" s="2" t="inlineStr">
        <is>
          <t>Live run measurement</t>
        </is>
      </c>
      <c r="P29" s="2" t="inlineStr">
        <is>
          <t>Low</t>
        </is>
      </c>
      <c r="Q29" s="2" t="inlineStr">
        <is>
          <t>Raise the smallest control height to 44px on touch devices.</t>
        </is>
      </c>
      <c r="R29" s="2" t="inlineStr"/>
    </row>
    <row r="30">
      <c r="A30" s="2" t="inlineStr">
        <is>
          <t>T-29</t>
        </is>
      </c>
      <c r="B30" s="2" t="inlineStr">
        <is>
          <t>F-01</t>
        </is>
      </c>
      <c r="C30" s="2" t="inlineStr">
        <is>
          <t>R-14</t>
        </is>
      </c>
      <c r="D30" s="2" t="inlineStr">
        <is>
          <t>Data Validation</t>
        </is>
      </c>
      <c r="E30" s="2" t="inlineStr">
        <is>
          <t>Email shown for the customer is theirs</t>
        </is>
      </c>
      <c r="F30" s="2" t="inlineStr">
        <is>
          <t>CUST-3084 identified</t>
        </is>
      </c>
      <c r="G30" s="2" t="inlineStr">
        <is>
          <t>1. Fetch
2. Read Email on the summary</t>
        </is>
      </c>
      <c r="H30" s="2" t="inlineStr">
        <is>
          <t>CUST-3084</t>
        </is>
      </c>
      <c r="I30" s="2" t="inlineStr">
        <is>
          <t>aisha.mohammed.khalid.alkuwari@example.qa</t>
        </is>
      </c>
      <c r="J30" s="2" t="inlineStr">
        <is>
          <t>Retail Sales (ROLE-01)</t>
        </is>
      </c>
      <c r="K30" s="2" t="inlineStr">
        <is>
          <t>Web</t>
        </is>
      </c>
      <c r="L30" s="2" t="inlineStr">
        <is>
          <t>P0</t>
        </is>
      </c>
      <c r="M30" s="2" t="inlineStr">
        <is>
          <t>Failed</t>
        </is>
      </c>
      <c r="N30" s="2" t="inlineStr">
        <is>
          <t>Summary shows ahmed.alsulaiti@example.qa (another person's email): all three of her billing profiles carry it.</t>
        </is>
      </c>
      <c r="O30" s="2" t="inlineStr">
        <is>
          <t>public/mock-data/billing-profiles.json (BILL-7150/7151/7154); summary rail in live run</t>
        </is>
      </c>
      <c r="P30" s="2" t="inlineStr">
        <is>
          <t>Medium</t>
        </is>
      </c>
      <c r="Q30" s="2" t="inlineStr">
        <is>
          <t>Correct the seed data; 15 of 61 accounts have a billing email differing from the customer's. Decide whether Billing Profile or Customer record is the authority.</t>
        </is>
      </c>
      <c r="R30" s="2" t="inlineStr">
        <is>
          <t>Data defect in the mock data, surfaced by the journey.</t>
        </is>
      </c>
    </row>
    <row r="31">
      <c r="A31" s="2" t="inlineStr">
        <is>
          <t>T-30</t>
        </is>
      </c>
      <c r="B31" s="2" t="inlineStr">
        <is>
          <t>F-01</t>
        </is>
      </c>
      <c r="C31" s="2" t="inlineStr">
        <is>
          <t>R-02</t>
        </is>
      </c>
      <c r="D31" s="2" t="inlineStr">
        <is>
          <t>Accessibility</t>
        </is>
      </c>
      <c r="E31" s="2" t="inlineStr">
        <is>
          <t>Line cards expose selection state; focus and labels</t>
        </is>
      </c>
      <c r="F31" s="2" t="inlineStr">
        <is>
          <t>Select Line step</t>
        </is>
      </c>
      <c r="G31" s="2" t="inlineStr">
        <is>
          <t>1. Tab through lines
2. Check markup</t>
        </is>
      </c>
      <c r="H31" s="2" t="inlineStr">
        <is>
          <t>-</t>
        </is>
      </c>
      <c r="I31" s="2" t="inlineStr">
        <is>
          <t>Buttons with pressed state and a disabled reason</t>
        </is>
      </c>
      <c r="J31" s="2" t="inlineStr">
        <is>
          <t>Retail Sales (ROLE-01)</t>
        </is>
      </c>
      <c r="K31" s="2" t="inlineStr">
        <is>
          <t>Web</t>
        </is>
      </c>
      <c r="L31" s="2" t="inlineStr">
        <is>
          <t>P2</t>
        </is>
      </c>
      <c r="M31" s="2" t="inlineStr">
        <is>
          <t>Partially Implemented</t>
        </is>
      </c>
      <c r="N31" s="2" t="inlineStr">
        <is>
          <t>Markup has button with aria-pressed and disabled; keyboard traversal, focus visibility and screen-reader announcement were not run.</t>
        </is>
      </c>
      <c r="O31" s="2" t="inlineStr">
        <is>
          <t>src/components/patterns/LineSelectionStep.tsx:55-61</t>
        </is>
      </c>
      <c r="P31" s="2" t="inlineStr"/>
      <c r="Q31" s="2" t="inlineStr">
        <is>
          <t>Run keyboard and screen-reader pass.</t>
        </is>
      </c>
      <c r="R31" s="2" t="inlineStr"/>
    </row>
    <row r="32">
      <c r="A32" s="2" t="inlineStr">
        <is>
          <t>T-31</t>
        </is>
      </c>
      <c r="B32" s="2" t="inlineStr">
        <is>
          <t>F-01</t>
        </is>
      </c>
      <c r="C32" s="2" t="inlineStr">
        <is>
          <t>R-01</t>
        </is>
      </c>
      <c r="D32" s="2" t="inlineStr">
        <is>
          <t>Security</t>
        </is>
      </c>
      <c r="E32" s="2" t="inlineStr">
        <is>
          <t>Direct URL and tampered draft cannot bypass eligibility</t>
        </is>
      </c>
      <c r="F32" s="2" t="inlineStr">
        <is>
          <t>Role with/without grant</t>
        </is>
      </c>
      <c r="G32" s="2" t="inlineStr">
        <is>
          <t>1. Open URL
2. Edit sessionStorage draft</t>
        </is>
      </c>
      <c r="H32" s="2" t="inlineStr">
        <is>
          <t>-</t>
        </is>
      </c>
      <c r="I32" s="2" t="inlineStr">
        <is>
          <t>Server-side style checks refuse</t>
        </is>
      </c>
      <c r="J32" s="2" t="inlineStr">
        <is>
          <t>Role without grant</t>
        </is>
      </c>
      <c r="K32" s="2" t="inlineStr">
        <is>
          <t>Web</t>
        </is>
      </c>
      <c r="L32" s="2" t="inlineStr">
        <is>
          <t>P0</t>
        </is>
      </c>
      <c r="M32" s="2" t="inlineStr">
        <is>
          <t>Partially Implemented</t>
        </is>
      </c>
      <c r="N32" s="2" t="inlineStr">
        <is>
          <t>Submit-time guards hold (T-24), but there is no access check on the route (T-02) and the data layer is client-side mock.</t>
        </is>
      </c>
      <c r="O32" s="2" t="inlineStr">
        <is>
          <t>src/router.tsx:86; tests/journeyGates.test.mjs</t>
        </is>
      </c>
      <c r="P32" s="2" t="inlineStr">
        <is>
          <t>Medium</t>
        </is>
      </c>
      <c r="Q32" s="2" t="inlineStr">
        <is>
          <t>See T-02; a real back end must re-validate grants and eligibility.</t>
        </is>
      </c>
      <c r="R32" s="2" t="inlineStr"/>
    </row>
    <row r="33">
      <c r="A33" s="2" t="inlineStr">
        <is>
          <t>T-32</t>
        </is>
      </c>
      <c r="B33" s="2" t="inlineStr">
        <is>
          <t>F-01</t>
        </is>
      </c>
      <c r="C33" s="2" t="inlineStr">
        <is>
          <t>R-06</t>
        </is>
      </c>
      <c r="D33" s="2" t="inlineStr">
        <is>
          <t>Performance</t>
        </is>
      </c>
      <c r="E33" s="2" t="inlineStr">
        <is>
          <t>Journey responsiveness with large datasets</t>
        </is>
      </c>
      <c r="F33" s="2" t="inlineStr">
        <is>
          <t>20+ lines, 59 profiles</t>
        </is>
      </c>
      <c r="G33" s="2" t="inlineStr">
        <is>
          <t>1. Time each step</t>
        </is>
      </c>
      <c r="H33" s="2" t="inlineStr">
        <is>
          <t>-</t>
        </is>
      </c>
      <c r="I33" s="2" t="inlineStr">
        <is>
          <t>Steps render promptly</t>
        </is>
      </c>
      <c r="J33" s="2" t="inlineStr">
        <is>
          <t>Retail Sales</t>
        </is>
      </c>
      <c r="K33" s="2" t="inlineStr">
        <is>
          <t>Web</t>
        </is>
      </c>
      <c r="L33" s="2" t="inlineStr">
        <is>
          <t>P3</t>
        </is>
      </c>
      <c r="M33" s="2" t="inlineStr">
        <is>
          <t>Blocked</t>
        </is>
      </c>
      <c r="N33" s="2" t="inlineStr">
        <is>
          <t>No load-testing tooling; mock data is local so numbers would not predict production.</t>
        </is>
      </c>
      <c r="O33" s="2" t="inlineStr">
        <is>
          <t>-</t>
        </is>
      </c>
      <c r="P33" s="2" t="inlineStr"/>
      <c r="Q33" s="2" t="inlineStr"/>
      <c r="R33" s="2" t="inlineStr"/>
    </row>
    <row r="34">
      <c r="A34" s="2" t="inlineStr">
        <is>
          <t>T-33</t>
        </is>
      </c>
      <c r="B34" s="2" t="inlineStr">
        <is>
          <t>F-01</t>
        </is>
      </c>
      <c r="C34" s="2" t="inlineStr">
        <is>
          <t>R-07</t>
        </is>
      </c>
      <c r="D34" s="2" t="inlineStr">
        <is>
          <t>Usability</t>
        </is>
      </c>
      <c r="E34" s="2" t="inlineStr">
        <is>
          <t>CAF wording is approved text</t>
        </is>
      </c>
      <c r="F34" s="2" t="inlineStr">
        <is>
          <t>CAF step</t>
        </is>
      </c>
      <c r="G34" s="2" t="inlineStr">
        <is>
          <t>1. Read Terms &amp; Conditions</t>
        </is>
      </c>
      <c r="H34" s="2" t="inlineStr">
        <is>
          <t>-</t>
        </is>
      </c>
      <c r="I34" s="2" t="inlineStr">
        <is>
          <t>Approved legal wording suitable for a plan change</t>
        </is>
      </c>
      <c r="J34" s="2" t="inlineStr">
        <is>
          <t>Retail Sales</t>
        </is>
      </c>
      <c r="K34" s="2" t="inlineStr">
        <is>
          <t>Web</t>
        </is>
      </c>
      <c r="L34" s="2" t="inlineStr">
        <is>
          <t>P1</t>
        </is>
      </c>
      <c r="M34" s="2" t="inlineStr">
        <is>
          <t>Failed</t>
        </is>
      </c>
      <c r="N34" s="2" t="inlineStr">
        <is>
          <t>Terms headed 'SAMPLE TEXT - REPLACE WITH APPROVED WORDING'; clauses reference number selection and a first bill 'one month in advance', which do not obviously apply to a plan change.</t>
        </is>
      </c>
      <c r="O34" s="2" t="inlineStr">
        <is>
          <t>Live run, CAF step</t>
        </is>
      </c>
      <c r="P34" s="2" t="inlineStr">
        <is>
          <t>Medium</t>
        </is>
      </c>
      <c r="Q34" s="2" t="inlineStr">
        <is>
          <t>Supply approved wording and a plan-change variant of the terms.</t>
        </is>
      </c>
      <c r="R34" s="2" t="inlineStr">
        <is>
          <t>Content dependency, not a code defect.</t>
        </is>
      </c>
    </row>
    <row r="35">
      <c r="A35" s="2" t="inlineStr">
        <is>
          <t>T-34</t>
        </is>
      </c>
      <c r="B35" s="2" t="inlineStr">
        <is>
          <t>F-01</t>
        </is>
      </c>
      <c r="C35" s="2" t="inlineStr">
        <is>
          <t>R-06</t>
        </is>
      </c>
      <c r="D35" s="2" t="inlineStr">
        <is>
          <t>Usability</t>
        </is>
      </c>
      <c r="E35" s="2" t="inlineStr">
        <is>
          <t>Checkout labels read cleanly</t>
        </is>
      </c>
      <c r="F35" s="2" t="inlineStr">
        <is>
          <t>Checkout step</t>
        </is>
      </c>
      <c r="G35" s="2" t="inlineStr">
        <is>
          <t>1. Read Order Summary</t>
        </is>
      </c>
      <c r="H35" s="2" t="inlineStr">
        <is>
          <t>-</t>
        </is>
      </c>
      <c r="I35" s="2" t="inlineStr">
        <is>
          <t>Customer name shown as a name</t>
        </is>
      </c>
      <c r="J35" s="2" t="inlineStr">
        <is>
          <t>Retail Sales</t>
        </is>
      </c>
      <c r="K35" s="2" t="inlineStr">
        <is>
          <t>Web</t>
        </is>
      </c>
      <c r="L35" s="2" t="inlineStr">
        <is>
          <t>P3</t>
        </is>
      </c>
      <c r="M35" s="2" t="inlineStr">
        <is>
          <t>Failed</t>
        </is>
      </c>
      <c r="N35" s="2" t="inlineStr">
        <is>
          <t>Customer Name shows 'Aisha, Mohammed Khalid, Al-Kuwari' (commas between name parts).</t>
        </is>
      </c>
      <c r="O35" s="2" t="inlineStr">
        <is>
          <t>Live run, Checkout step</t>
        </is>
      </c>
      <c r="P35" s="2" t="inlineStr">
        <is>
          <t>Cosmetic</t>
        </is>
      </c>
      <c r="Q35" s="2" t="inlineStr">
        <is>
          <t>Join name parts with spaces in the shared Checkout Summary.</t>
        </is>
      </c>
      <c r="R35" s="2" t="inlineStr"/>
    </row>
    <row r="36">
      <c r="A36" s="2" t="inlineStr">
        <is>
          <t>T-35</t>
        </is>
      </c>
      <c r="B36" s="2" t="inlineStr">
        <is>
          <t>F-01</t>
        </is>
      </c>
      <c r="C36" s="2" t="inlineStr">
        <is>
          <t>R-11</t>
        </is>
      </c>
      <c r="D36" s="2" t="inlineStr">
        <is>
          <t>Regression</t>
        </is>
      </c>
      <c r="E36" s="2" t="inlineStr">
        <is>
          <t>Shared capabilities still behave for other consumers</t>
        </is>
      </c>
      <c r="F36" s="2" t="inlineStr">
        <is>
          <t>Scan, Eligibility Gate, Line Selection, Checkout used elsewhere</t>
        </is>
      </c>
      <c r="G36" s="2" t="inlineStr">
        <is>
          <t>1. Run npm test</t>
        </is>
      </c>
      <c r="H36" s="2" t="inlineStr">
        <is>
          <t>-</t>
        </is>
      </c>
      <c r="I36" s="2" t="inlineStr">
        <is>
          <t>All pass</t>
        </is>
      </c>
      <c r="J36" s="2" t="inlineStr">
        <is>
          <t>Retail Sales (ROLE-01)</t>
        </is>
      </c>
      <c r="K36" s="2" t="inlineStr">
        <is>
          <t>Web</t>
        </is>
      </c>
      <c r="L36" s="2" t="inlineStr">
        <is>
          <t>P1</t>
        </is>
      </c>
      <c r="M36" s="2" t="inlineStr">
        <is>
          <t>Passed</t>
        </is>
      </c>
      <c r="N36" s="2" t="inlineStr">
        <is>
          <t>257 of 257 tests pass; tsc, lint, build clean</t>
        </is>
      </c>
      <c r="O36" s="2" t="inlineStr">
        <is>
          <t>npm test (this session)</t>
        </is>
      </c>
      <c r="P36" s="2" t="inlineStr"/>
      <c r="Q36" s="2" t="inlineStr"/>
      <c r="R36" s="2" t="inlineStr"/>
    </row>
  </sheetData>
  <autoFilter ref="A1:R1"/>
  <conditionalFormatting sqref="M2:M36">
    <cfRule type="cellIs" priority="1" operator="equal" dxfId="0">
      <formula>"Passed"</formula>
    </cfRule>
    <cfRule type="cellIs" priority="2" operator="equal" dxfId="1">
      <formula>"Failed"</formula>
    </cfRule>
    <cfRule type="cellIs" priority="3" operator="equal" dxfId="2">
      <formula>"Partially Implemented"</formula>
    </cfRule>
    <cfRule type="cellIs" priority="4" operator="equal" dxfId="3">
      <formula>"Not Implemented"</formula>
    </cfRule>
    <cfRule type="cellIs" priority="5" operator="equal" dxfId="4">
      <formula>"Blocked"</formula>
    </cfRule>
    <cfRule type="cellIs" priority="6" operator="equal" dxfId="5">
      <formula>"Not Applicable"</formula>
    </cfRule>
  </conditionalFormatting>
  <conditionalFormatting sqref="P2:P36">
    <cfRule type="cellIs" priority="7" operator="equal" dxfId="6">
      <formula>"Critical"</formula>
    </cfRule>
    <cfRule type="cellIs" priority="8" operator="equal" dxfId="7">
      <formula>"High"</formula>
    </cfRule>
    <cfRule type="cellIs" priority="9" operator="equal" dxfId="8">
      <formula>"Medium"</formula>
    </cfRule>
    <cfRule type="cellIs" priority="10" operator="equal" dxfId="9">
      <formula>"Low"</formula>
    </cfRule>
    <cfRule type="cellIs" priority="11" operator="equal" dxfId="5">
      <formula>"Cosmetic"</formula>
    </cfRule>
  </conditionalFormatting>
  <dataValidations count="5">
    <dataValidation sqref="D2:D36" showDropDown="0" showInputMessage="0" showErrorMessage="0" allowBlank="1" type="list">
      <formula1>"Positive,Negative,Boundary,Edge Case,Integration,End-to-End,Usability,Accessibility,Security,Performance,Responsiveness,Cross-Platform,Role-Based Access,Data Validation,Regression"</formula1>
    </dataValidation>
    <dataValidation sqref="K2:K36" showDropDown="0" showInputMessage="0" showErrorMessage="0" allowBlank="1" type="list">
      <formula1>"Web,Tablet,Mobile Web,iOS,Android,Desktop App,API,Other"</formula1>
    </dataValidation>
    <dataValidation sqref="L2:L36" showDropDown="0" showInputMessage="0" showErrorMessage="0" allowBlank="1" type="list">
      <formula1>"P0,P1,P2,P3"</formula1>
    </dataValidation>
    <dataValidation sqref="M2:M36" showDropDown="0" showInputMessage="0" showErrorMessage="0" allowBlank="1" type="list">
      <formula1>"Passed,Failed,Partially Implemented,Not Implemented,Blocked,Not Applicable"</formula1>
    </dataValidation>
    <dataValidation sqref="P2:P36" showDropDown="0" showInputMessage="0" showErrorMessage="0" allowBlank="1" type="list">
      <formula1>"Critical,High,Medium,Low,Cosmetic"</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8" customWidth="1" min="3" max="3"/>
    <col width="18" customWidth="1" min="4" max="4"/>
    <col width="24" customWidth="1" min="5" max="5"/>
    <col width="32" customWidth="1" min="6" max="6"/>
    <col width="28" customWidth="1" min="7" max="7"/>
    <col width="28" customWidth="1" min="8" max="8"/>
    <col width="18" customWidth="1" min="9" max="9"/>
    <col width="12" customWidth="1" min="10" max="10"/>
    <col width="32" customWidth="1" min="11" max="11"/>
    <col width="26" customWidth="1" min="12" max="12"/>
  </cols>
  <sheetData>
    <row r="1">
      <c r="A1" s="1" t="inlineStr">
        <is>
          <t>Finding ID</t>
        </is>
      </c>
      <c r="B1" s="1" t="inlineStr">
        <is>
          <t>Feature ID</t>
        </is>
      </c>
      <c r="C1" s="1" t="inlineStr">
        <is>
          <t>Related Test ID(s)</t>
        </is>
      </c>
      <c r="D1" s="1" t="inlineStr">
        <is>
          <t>Related Req ID(s)</t>
        </is>
      </c>
      <c r="E1" s="1" t="inlineStr">
        <is>
          <t>Area (Page/Component/Workflow)</t>
        </is>
      </c>
      <c r="F1" s="1" t="inlineStr">
        <is>
          <t>Observation</t>
        </is>
      </c>
      <c r="G1" s="1" t="inlineStr">
        <is>
          <t>Expected Behaviour</t>
        </is>
      </c>
      <c r="H1" s="1" t="inlineStr">
        <is>
          <t>Actual Behaviour</t>
        </is>
      </c>
      <c r="I1" s="1" t="inlineStr">
        <is>
          <t>Status</t>
        </is>
      </c>
      <c r="J1" s="1" t="inlineStr">
        <is>
          <t>Severity</t>
        </is>
      </c>
      <c r="K1" s="1" t="inlineStr">
        <is>
          <t>Recommended Remediation</t>
        </is>
      </c>
      <c r="L1" s="1" t="inlineStr">
        <is>
          <t>Evidence</t>
        </is>
      </c>
    </row>
    <row r="2">
      <c r="A2" s="2" t="inlineStr">
        <is>
          <t>D-01</t>
        </is>
      </c>
      <c r="B2" s="2" t="inlineStr">
        <is>
          <t>F-01</t>
        </is>
      </c>
      <c r="C2" s="2" t="inlineStr">
        <is>
          <t>T-02,T-31</t>
        </is>
      </c>
      <c r="D2" s="2" t="inlineStr">
        <is>
          <t>R-01</t>
        </is>
      </c>
      <c r="E2" s="2" t="inlineStr">
        <is>
          <t>Access control</t>
        </is>
      </c>
      <c r="F2" s="2" t="inlineStr">
        <is>
          <t>The three line-change routes have no feature guard; the persona layer only hides them from menus.</t>
        </is>
      </c>
      <c r="G2" s="2" t="inlineStr">
        <is>
          <t>Roles without the grant are refused on the URL.</t>
        </is>
      </c>
      <c r="H2" s="2" t="inlineStr">
        <is>
          <t>Any signed-in role can run the journey by typing the URL.</t>
        </is>
      </c>
      <c r="I2" s="2" t="inlineStr">
        <is>
          <t>Partially Implemented</t>
        </is>
      </c>
      <c r="J2" s="2" t="inlineStr">
        <is>
          <t>Medium</t>
        </is>
      </c>
      <c r="K2" s="2" t="inlineStr">
        <is>
          <t>Add RequireFeature to /mobile/change-postpaid-plan, /change-prepaid-pack, /add-addon, or document the persona layer as non-enforcing. Product decision.</t>
        </is>
      </c>
      <c r="L2" s="2" t="inlineStr">
        <is>
          <t>src/router.tsx:86-88</t>
        </is>
      </c>
    </row>
    <row r="3">
      <c r="A3" s="2" t="inlineStr">
        <is>
          <t>D-02</t>
        </is>
      </c>
      <c r="B3" s="2" t="inlineStr">
        <is>
          <t>F-01</t>
        </is>
      </c>
      <c r="C3" s="2" t="inlineStr">
        <is>
          <t>T-29</t>
        </is>
      </c>
      <c r="D3" s="2" t="inlineStr">
        <is>
          <t>R-14</t>
        </is>
      </c>
      <c r="E3" s="2" t="inlineStr">
        <is>
          <t>Mock data</t>
        </is>
      </c>
      <c r="F3" s="2" t="inlineStr">
        <is>
          <t>15 of 61 accounts carry a billing-contact email that differs from the customer's; 13 billing profiles share ahmed.alsulaiti@example.qa.</t>
        </is>
      </c>
      <c r="G3" s="2" t="inlineStr">
        <is>
          <t>Each customer's email is their own.</t>
        </is>
      </c>
      <c r="H3" s="2" t="inlineStr">
        <is>
          <t>Journey shows another person's email for such customers.</t>
        </is>
      </c>
      <c r="I3" s="2" t="inlineStr">
        <is>
          <t>Failed</t>
        </is>
      </c>
      <c r="J3" s="2" t="inlineStr">
        <is>
          <t>Medium</t>
        </is>
      </c>
      <c r="K3" s="2" t="inlineStr">
        <is>
          <t>Correct the seed data in billing-profiles.json and add a sync check like the customer inventory one.</t>
        </is>
      </c>
      <c r="L3" s="2" t="inlineStr">
        <is>
          <t>public/mock-data/billing-profiles.json</t>
        </is>
      </c>
    </row>
    <row r="4">
      <c r="A4" s="2" t="inlineStr">
        <is>
          <t>D-03</t>
        </is>
      </c>
      <c r="B4" s="2" t="inlineStr">
        <is>
          <t>F-01</t>
        </is>
      </c>
      <c r="C4" s="2" t="inlineStr">
        <is>
          <t>T-13,T-33</t>
        </is>
      </c>
      <c r="D4" s="2" t="inlineStr">
        <is>
          <t>R-06,R-07</t>
        </is>
      </c>
      <c r="E4" s="2" t="inlineStr">
        <is>
          <t>Checkout and CAF content</t>
        </is>
      </c>
      <c r="F4" s="2" t="inlineStr">
        <is>
          <t>Checkout and CAF reuse new-connection content (lock-in period, HRN advance, number-selection clause, first-bill-in-advance, bill limit up to QAR 1000 vs plan bill limit 145).</t>
        </is>
      </c>
      <c r="G4" s="2" t="inlineStr">
        <is>
          <t>Only terms that apply to a plan change.</t>
        </is>
      </c>
      <c r="H4" s="2" t="inlineStr">
        <is>
          <t>Applicability of several terms is unspecified; CAF text is placeholder.</t>
        </is>
      </c>
      <c r="I4" s="2" t="inlineStr">
        <is>
          <t>Partially Implemented</t>
        </is>
      </c>
      <c r="J4" s="2" t="inlineStr">
        <is>
          <t>Medium</t>
        </is>
      </c>
      <c r="K4" s="2" t="inlineStr">
        <is>
          <t>Business to confirm which terms apply; then hide or reword them for plan change.</t>
        </is>
      </c>
      <c r="L4" s="2" t="inlineStr">
        <is>
          <t>Live run, Checkout and CAF steps</t>
        </is>
      </c>
    </row>
    <row r="5">
      <c r="A5" s="2" t="inlineStr">
        <is>
          <t>D-04</t>
        </is>
      </c>
      <c r="B5" s="2" t="inlineStr">
        <is>
          <t>F-01</t>
        </is>
      </c>
      <c r="C5" s="2" t="inlineStr">
        <is>
          <t>T-15,T-23,T-22</t>
        </is>
      </c>
      <c r="D5" s="2" t="inlineStr">
        <is>
          <t>R-07,R-08</t>
        </is>
      </c>
      <c r="E5" s="2" t="inlineStr">
        <is>
          <t>Coverage gap</t>
        </is>
      </c>
      <c r="F5" s="2" t="inlineStr">
        <is>
          <t>Signature, Payment and confirmation were not exercised live; pricing spec is absent for plans other than Extra.</t>
        </is>
      </c>
      <c r="G5" s="2" t="inlineStr">
        <is>
          <t>Full journey run end to end.</t>
        </is>
      </c>
      <c r="H5" s="2" t="inlineStr">
        <is>
          <t>Covered only by unit tests for submit logic.</t>
        </is>
      </c>
      <c r="I5" s="2" t="inlineStr">
        <is>
          <t>Blocked</t>
        </is>
      </c>
      <c r="J5" s="2" t="inlineStr">
        <is>
          <t>Medium</t>
        </is>
      </c>
      <c r="K5" s="2" t="inlineStr">
        <is>
          <t>Run CAF to confirmation manually; add a signature test hook for automation.</t>
        </is>
      </c>
      <c r="L5" s="2" t="inlineStr">
        <is>
          <t>Live run</t>
        </is>
      </c>
    </row>
    <row r="6">
      <c r="A6" s="2" t="inlineStr">
        <is>
          <t>D-05</t>
        </is>
      </c>
      <c r="B6" s="2" t="inlineStr">
        <is>
          <t>F-01</t>
        </is>
      </c>
      <c r="C6" s="2" t="inlineStr">
        <is>
          <t>T-20</t>
        </is>
      </c>
      <c r="D6" s="2" t="inlineStr">
        <is>
          <t>R-02</t>
        </is>
      </c>
      <c r="E6" s="2" t="inlineStr">
        <is>
          <t>Customer context</t>
        </is>
      </c>
      <c r="F6" s="2" t="inlineStr">
        <is>
          <t>A resumed draft for customer A is shown while customer B is selected, with no notice.</t>
        </is>
      </c>
      <c r="G6" s="2" t="inlineStr">
        <is>
          <t>Agent is told which customer the journey is locked to.</t>
        </is>
      </c>
      <c r="H6" s="2" t="inlineStr">
        <is>
          <t>Header shows A silently.</t>
        </is>
      </c>
      <c r="I6" s="2" t="inlineStr">
        <is>
          <t>Partially Implemented</t>
        </is>
      </c>
      <c r="J6" s="2" t="inlineStr">
        <is>
          <t>Low</t>
        </is>
      </c>
      <c r="K6" s="2" t="inlineStr">
        <is>
          <t>Notice on resume when the draft customer differs from the selected one.</t>
        </is>
      </c>
      <c r="L6" s="2" t="inlineStr">
        <is>
          <t>Live run</t>
        </is>
      </c>
    </row>
  </sheetData>
  <autoFilter ref="A1:L1"/>
  <conditionalFormatting sqref="I2:I6">
    <cfRule type="cellIs" priority="1" operator="equal" dxfId="0">
      <formula>"Passed"</formula>
    </cfRule>
    <cfRule type="cellIs" priority="2" operator="equal" dxfId="1">
      <formula>"Failed"</formula>
    </cfRule>
    <cfRule type="cellIs" priority="3" operator="equal" dxfId="2">
      <formula>"Partially Implemented"</formula>
    </cfRule>
    <cfRule type="cellIs" priority="4" operator="equal" dxfId="3">
      <formula>"Not Implemented"</formula>
    </cfRule>
    <cfRule type="cellIs" priority="5" operator="equal" dxfId="4">
      <formula>"Blocked"</formula>
    </cfRule>
    <cfRule type="cellIs" priority="6" operator="equal" dxfId="5">
      <formula>"Not Applicable"</formula>
    </cfRule>
  </conditionalFormatting>
  <conditionalFormatting sqref="J2:J6">
    <cfRule type="cellIs" priority="7" operator="equal" dxfId="6">
      <formula>"Critical"</formula>
    </cfRule>
    <cfRule type="cellIs" priority="8" operator="equal" dxfId="7">
      <formula>"High"</formula>
    </cfRule>
    <cfRule type="cellIs" priority="9" operator="equal" dxfId="8">
      <formula>"Medium"</formula>
    </cfRule>
    <cfRule type="cellIs" priority="10" operator="equal" dxfId="9">
      <formula>"Low"</formula>
    </cfRule>
    <cfRule type="cellIs" priority="11" operator="equal" dxfId="5">
      <formula>"Cosmetic"</formula>
    </cfRule>
  </conditionalFormatting>
  <dataValidations count="2">
    <dataValidation sqref="I2:I6" showDropDown="0" showInputMessage="0" showErrorMessage="0" allowBlank="1" type="list">
      <formula1>"Passed,Failed,Partially Implemented,Not Implemented,Blocked,Not Applicable"</formula1>
    </dataValidation>
    <dataValidation sqref="J2:J6" showDropDown="0" showInputMessage="0" showErrorMessage="0" allowBlank="1" type="list">
      <formula1>"Critical,High,Medium,Low,Cosmetic"</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4" customWidth="1" min="3" max="3"/>
    <col width="14" customWidth="1" min="4" max="4"/>
    <col width="14" customWidth="1" min="5" max="5"/>
    <col width="14" customWidth="1" min="6" max="6"/>
    <col width="14" customWidth="1" min="7" max="7"/>
    <col width="14" customWidth="1" min="8" max="8"/>
    <col width="10" customWidth="1" min="9" max="9"/>
    <col width="12" customWidth="1" min="10" max="10"/>
  </cols>
  <sheetData>
    <row r="1">
      <c r="A1" s="1" t="inlineStr">
        <is>
          <t>Feature ID</t>
        </is>
      </c>
      <c r="B1" s="1" t="inlineStr">
        <is>
          <t>Test Category</t>
        </is>
      </c>
      <c r="C1" s="1" t="inlineStr">
        <is>
          <t>Passed</t>
        </is>
      </c>
      <c r="D1" s="1" t="inlineStr">
        <is>
          <t>Failed</t>
        </is>
      </c>
      <c r="E1" s="1" t="inlineStr">
        <is>
          <t>Partially Implemented</t>
        </is>
      </c>
      <c r="F1" s="1" t="inlineStr">
        <is>
          <t>Not Implemented</t>
        </is>
      </c>
      <c r="G1" s="1" t="inlineStr">
        <is>
          <t>Blocked</t>
        </is>
      </c>
      <c r="H1" s="1" t="inlineStr">
        <is>
          <t>Not Applicable</t>
        </is>
      </c>
      <c r="I1" s="1" t="inlineStr">
        <is>
          <t>Total</t>
        </is>
      </c>
      <c r="J1" s="1" t="inlineStr">
        <is>
          <t>Pass Rate %</t>
        </is>
      </c>
    </row>
    <row r="2">
      <c r="A2" s="3" t="inlineStr">
        <is>
          <t>F-01</t>
        </is>
      </c>
      <c r="B2" s="3" t="inlineStr">
        <is>
          <t>Positive</t>
        </is>
      </c>
      <c r="C2" s="3">
        <f>COUNTIFS('Test Suite'!$B$2:$B$36,$A2,'Test Suite'!$D$2:$D$36,$B2,'Test Suite'!$M$2:$M$36,"Passed")</f>
        <v/>
      </c>
      <c r="D2" s="3">
        <f>COUNTIFS('Test Suite'!$B$2:$B$36,$A2,'Test Suite'!$D$2:$D$36,$B2,'Test Suite'!$M$2:$M$36,"Failed")</f>
        <v/>
      </c>
      <c r="E2" s="3">
        <f>COUNTIFS('Test Suite'!$B$2:$B$36,$A2,'Test Suite'!$D$2:$D$36,$B2,'Test Suite'!$M$2:$M$36,"Partially Implemented")</f>
        <v/>
      </c>
      <c r="F2" s="3">
        <f>COUNTIFS('Test Suite'!$B$2:$B$36,$A2,'Test Suite'!$D$2:$D$36,$B2,'Test Suite'!$M$2:$M$36,"Not Implemented")</f>
        <v/>
      </c>
      <c r="G2" s="3">
        <f>COUNTIFS('Test Suite'!$B$2:$B$36,$A2,'Test Suite'!$D$2:$D$36,$B2,'Test Suite'!$M$2:$M$36,"Blocked")</f>
        <v/>
      </c>
      <c r="H2" s="3">
        <f>COUNTIFS('Test Suite'!$B$2:$B$36,$A2,'Test Suite'!$D$2:$D$36,$B2,'Test Suite'!$M$2:$M$36,"Not Applicable")</f>
        <v/>
      </c>
      <c r="I2" s="3">
        <f>SUM(C2:H2)</f>
        <v/>
      </c>
      <c r="J2" s="4">
        <f>IF(I2=0,"N/A",C2/I2)</f>
        <v/>
      </c>
    </row>
    <row r="3">
      <c r="A3" s="3" t="inlineStr">
        <is>
          <t>F-01</t>
        </is>
      </c>
      <c r="B3" s="3" t="inlineStr">
        <is>
          <t>Negative</t>
        </is>
      </c>
      <c r="C3" s="3">
        <f>COUNTIFS('Test Suite'!$B$2:$B$36,$A3,'Test Suite'!$D$2:$D$36,$B3,'Test Suite'!$M$2:$M$36,"Passed")</f>
        <v/>
      </c>
      <c r="D3" s="3">
        <f>COUNTIFS('Test Suite'!$B$2:$B$36,$A3,'Test Suite'!$D$2:$D$36,$B3,'Test Suite'!$M$2:$M$36,"Failed")</f>
        <v/>
      </c>
      <c r="E3" s="3">
        <f>COUNTIFS('Test Suite'!$B$2:$B$36,$A3,'Test Suite'!$D$2:$D$36,$B3,'Test Suite'!$M$2:$M$36,"Partially Implemented")</f>
        <v/>
      </c>
      <c r="F3" s="3">
        <f>COUNTIFS('Test Suite'!$B$2:$B$36,$A3,'Test Suite'!$D$2:$D$36,$B3,'Test Suite'!$M$2:$M$36,"Not Implemented")</f>
        <v/>
      </c>
      <c r="G3" s="3">
        <f>COUNTIFS('Test Suite'!$B$2:$B$36,$A3,'Test Suite'!$D$2:$D$36,$B3,'Test Suite'!$M$2:$M$36,"Blocked")</f>
        <v/>
      </c>
      <c r="H3" s="3">
        <f>COUNTIFS('Test Suite'!$B$2:$B$36,$A3,'Test Suite'!$D$2:$D$36,$B3,'Test Suite'!$M$2:$M$36,"Not Applicable")</f>
        <v/>
      </c>
      <c r="I3" s="3">
        <f>SUM(C3:H3)</f>
        <v/>
      </c>
      <c r="J3" s="4">
        <f>IF(I3=0,"N/A",C3/I3)</f>
        <v/>
      </c>
    </row>
    <row r="4">
      <c r="A4" s="3" t="inlineStr">
        <is>
          <t>F-01</t>
        </is>
      </c>
      <c r="B4" s="3" t="inlineStr">
        <is>
          <t>Boundary</t>
        </is>
      </c>
      <c r="C4" s="3">
        <f>COUNTIFS('Test Suite'!$B$2:$B$36,$A4,'Test Suite'!$D$2:$D$36,$B4,'Test Suite'!$M$2:$M$36,"Passed")</f>
        <v/>
      </c>
      <c r="D4" s="3">
        <f>COUNTIFS('Test Suite'!$B$2:$B$36,$A4,'Test Suite'!$D$2:$D$36,$B4,'Test Suite'!$M$2:$M$36,"Failed")</f>
        <v/>
      </c>
      <c r="E4" s="3">
        <f>COUNTIFS('Test Suite'!$B$2:$B$36,$A4,'Test Suite'!$D$2:$D$36,$B4,'Test Suite'!$M$2:$M$36,"Partially Implemented")</f>
        <v/>
      </c>
      <c r="F4" s="3">
        <f>COUNTIFS('Test Suite'!$B$2:$B$36,$A4,'Test Suite'!$D$2:$D$36,$B4,'Test Suite'!$M$2:$M$36,"Not Implemented")</f>
        <v/>
      </c>
      <c r="G4" s="3">
        <f>COUNTIFS('Test Suite'!$B$2:$B$36,$A4,'Test Suite'!$D$2:$D$36,$B4,'Test Suite'!$M$2:$M$36,"Blocked")</f>
        <v/>
      </c>
      <c r="H4" s="3">
        <f>COUNTIFS('Test Suite'!$B$2:$B$36,$A4,'Test Suite'!$D$2:$D$36,$B4,'Test Suite'!$M$2:$M$36,"Not Applicable")</f>
        <v/>
      </c>
      <c r="I4" s="3">
        <f>SUM(C4:H4)</f>
        <v/>
      </c>
      <c r="J4" s="4">
        <f>IF(I4=0,"N/A",C4/I4)</f>
        <v/>
      </c>
    </row>
    <row r="5">
      <c r="A5" s="3" t="inlineStr">
        <is>
          <t>F-01</t>
        </is>
      </c>
      <c r="B5" s="3" t="inlineStr">
        <is>
          <t>Edge Case</t>
        </is>
      </c>
      <c r="C5" s="3">
        <f>COUNTIFS('Test Suite'!$B$2:$B$36,$A5,'Test Suite'!$D$2:$D$36,$B5,'Test Suite'!$M$2:$M$36,"Passed")</f>
        <v/>
      </c>
      <c r="D5" s="3">
        <f>COUNTIFS('Test Suite'!$B$2:$B$36,$A5,'Test Suite'!$D$2:$D$36,$B5,'Test Suite'!$M$2:$M$36,"Failed")</f>
        <v/>
      </c>
      <c r="E5" s="3">
        <f>COUNTIFS('Test Suite'!$B$2:$B$36,$A5,'Test Suite'!$D$2:$D$36,$B5,'Test Suite'!$M$2:$M$36,"Partially Implemented")</f>
        <v/>
      </c>
      <c r="F5" s="3">
        <f>COUNTIFS('Test Suite'!$B$2:$B$36,$A5,'Test Suite'!$D$2:$D$36,$B5,'Test Suite'!$M$2:$M$36,"Not Implemented")</f>
        <v/>
      </c>
      <c r="G5" s="3">
        <f>COUNTIFS('Test Suite'!$B$2:$B$36,$A5,'Test Suite'!$D$2:$D$36,$B5,'Test Suite'!$M$2:$M$36,"Blocked")</f>
        <v/>
      </c>
      <c r="H5" s="3">
        <f>COUNTIFS('Test Suite'!$B$2:$B$36,$A5,'Test Suite'!$D$2:$D$36,$B5,'Test Suite'!$M$2:$M$36,"Not Applicable")</f>
        <v/>
      </c>
      <c r="I5" s="3">
        <f>SUM(C5:H5)</f>
        <v/>
      </c>
      <c r="J5" s="4">
        <f>IF(I5=0,"N/A",C5/I5)</f>
        <v/>
      </c>
    </row>
    <row r="6">
      <c r="A6" s="3" t="inlineStr">
        <is>
          <t>F-01</t>
        </is>
      </c>
      <c r="B6" s="3" t="inlineStr">
        <is>
          <t>Integration</t>
        </is>
      </c>
      <c r="C6" s="3">
        <f>COUNTIFS('Test Suite'!$B$2:$B$36,$A6,'Test Suite'!$D$2:$D$36,$B6,'Test Suite'!$M$2:$M$36,"Passed")</f>
        <v/>
      </c>
      <c r="D6" s="3">
        <f>COUNTIFS('Test Suite'!$B$2:$B$36,$A6,'Test Suite'!$D$2:$D$36,$B6,'Test Suite'!$M$2:$M$36,"Failed")</f>
        <v/>
      </c>
      <c r="E6" s="3">
        <f>COUNTIFS('Test Suite'!$B$2:$B$36,$A6,'Test Suite'!$D$2:$D$36,$B6,'Test Suite'!$M$2:$M$36,"Partially Implemented")</f>
        <v/>
      </c>
      <c r="F6" s="3">
        <f>COUNTIFS('Test Suite'!$B$2:$B$36,$A6,'Test Suite'!$D$2:$D$36,$B6,'Test Suite'!$M$2:$M$36,"Not Implemented")</f>
        <v/>
      </c>
      <c r="G6" s="3">
        <f>COUNTIFS('Test Suite'!$B$2:$B$36,$A6,'Test Suite'!$D$2:$D$36,$B6,'Test Suite'!$M$2:$M$36,"Blocked")</f>
        <v/>
      </c>
      <c r="H6" s="3">
        <f>COUNTIFS('Test Suite'!$B$2:$B$36,$A6,'Test Suite'!$D$2:$D$36,$B6,'Test Suite'!$M$2:$M$36,"Not Applicable")</f>
        <v/>
      </c>
      <c r="I6" s="3">
        <f>SUM(C6:H6)</f>
        <v/>
      </c>
      <c r="J6" s="4">
        <f>IF(I6=0,"N/A",C6/I6)</f>
        <v/>
      </c>
    </row>
    <row r="7">
      <c r="A7" s="3" t="inlineStr">
        <is>
          <t>F-01</t>
        </is>
      </c>
      <c r="B7" s="3" t="inlineStr">
        <is>
          <t>End-to-End</t>
        </is>
      </c>
      <c r="C7" s="3">
        <f>COUNTIFS('Test Suite'!$B$2:$B$36,$A7,'Test Suite'!$D$2:$D$36,$B7,'Test Suite'!$M$2:$M$36,"Passed")</f>
        <v/>
      </c>
      <c r="D7" s="3">
        <f>COUNTIFS('Test Suite'!$B$2:$B$36,$A7,'Test Suite'!$D$2:$D$36,$B7,'Test Suite'!$M$2:$M$36,"Failed")</f>
        <v/>
      </c>
      <c r="E7" s="3">
        <f>COUNTIFS('Test Suite'!$B$2:$B$36,$A7,'Test Suite'!$D$2:$D$36,$B7,'Test Suite'!$M$2:$M$36,"Partially Implemented")</f>
        <v/>
      </c>
      <c r="F7" s="3">
        <f>COUNTIFS('Test Suite'!$B$2:$B$36,$A7,'Test Suite'!$D$2:$D$36,$B7,'Test Suite'!$M$2:$M$36,"Not Implemented")</f>
        <v/>
      </c>
      <c r="G7" s="3">
        <f>COUNTIFS('Test Suite'!$B$2:$B$36,$A7,'Test Suite'!$D$2:$D$36,$B7,'Test Suite'!$M$2:$M$36,"Blocked")</f>
        <v/>
      </c>
      <c r="H7" s="3">
        <f>COUNTIFS('Test Suite'!$B$2:$B$36,$A7,'Test Suite'!$D$2:$D$36,$B7,'Test Suite'!$M$2:$M$36,"Not Applicable")</f>
        <v/>
      </c>
      <c r="I7" s="3">
        <f>SUM(C7:H7)</f>
        <v/>
      </c>
      <c r="J7" s="4">
        <f>IF(I7=0,"N/A",C7/I7)</f>
        <v/>
      </c>
    </row>
    <row r="8">
      <c r="A8" s="3" t="inlineStr">
        <is>
          <t>F-01</t>
        </is>
      </c>
      <c r="B8" s="3" t="inlineStr">
        <is>
          <t>Usability</t>
        </is>
      </c>
      <c r="C8" s="3">
        <f>COUNTIFS('Test Suite'!$B$2:$B$36,$A8,'Test Suite'!$D$2:$D$36,$B8,'Test Suite'!$M$2:$M$36,"Passed")</f>
        <v/>
      </c>
      <c r="D8" s="3">
        <f>COUNTIFS('Test Suite'!$B$2:$B$36,$A8,'Test Suite'!$D$2:$D$36,$B8,'Test Suite'!$M$2:$M$36,"Failed")</f>
        <v/>
      </c>
      <c r="E8" s="3">
        <f>COUNTIFS('Test Suite'!$B$2:$B$36,$A8,'Test Suite'!$D$2:$D$36,$B8,'Test Suite'!$M$2:$M$36,"Partially Implemented")</f>
        <v/>
      </c>
      <c r="F8" s="3">
        <f>COUNTIFS('Test Suite'!$B$2:$B$36,$A8,'Test Suite'!$D$2:$D$36,$B8,'Test Suite'!$M$2:$M$36,"Not Implemented")</f>
        <v/>
      </c>
      <c r="G8" s="3">
        <f>COUNTIFS('Test Suite'!$B$2:$B$36,$A8,'Test Suite'!$D$2:$D$36,$B8,'Test Suite'!$M$2:$M$36,"Blocked")</f>
        <v/>
      </c>
      <c r="H8" s="3">
        <f>COUNTIFS('Test Suite'!$B$2:$B$36,$A8,'Test Suite'!$D$2:$D$36,$B8,'Test Suite'!$M$2:$M$36,"Not Applicable")</f>
        <v/>
      </c>
      <c r="I8" s="3">
        <f>SUM(C8:H8)</f>
        <v/>
      </c>
      <c r="J8" s="4">
        <f>IF(I8=0,"N/A",C8/I8)</f>
        <v/>
      </c>
    </row>
    <row r="9">
      <c r="A9" s="3" t="inlineStr">
        <is>
          <t>F-01</t>
        </is>
      </c>
      <c r="B9" s="3" t="inlineStr">
        <is>
          <t>Accessibility</t>
        </is>
      </c>
      <c r="C9" s="3">
        <f>COUNTIFS('Test Suite'!$B$2:$B$36,$A9,'Test Suite'!$D$2:$D$36,$B9,'Test Suite'!$M$2:$M$36,"Passed")</f>
        <v/>
      </c>
      <c r="D9" s="3">
        <f>COUNTIFS('Test Suite'!$B$2:$B$36,$A9,'Test Suite'!$D$2:$D$36,$B9,'Test Suite'!$M$2:$M$36,"Failed")</f>
        <v/>
      </c>
      <c r="E9" s="3">
        <f>COUNTIFS('Test Suite'!$B$2:$B$36,$A9,'Test Suite'!$D$2:$D$36,$B9,'Test Suite'!$M$2:$M$36,"Partially Implemented")</f>
        <v/>
      </c>
      <c r="F9" s="3">
        <f>COUNTIFS('Test Suite'!$B$2:$B$36,$A9,'Test Suite'!$D$2:$D$36,$B9,'Test Suite'!$M$2:$M$36,"Not Implemented")</f>
        <v/>
      </c>
      <c r="G9" s="3">
        <f>COUNTIFS('Test Suite'!$B$2:$B$36,$A9,'Test Suite'!$D$2:$D$36,$B9,'Test Suite'!$M$2:$M$36,"Blocked")</f>
        <v/>
      </c>
      <c r="H9" s="3">
        <f>COUNTIFS('Test Suite'!$B$2:$B$36,$A9,'Test Suite'!$D$2:$D$36,$B9,'Test Suite'!$M$2:$M$36,"Not Applicable")</f>
        <v/>
      </c>
      <c r="I9" s="3">
        <f>SUM(C9:H9)</f>
        <v/>
      </c>
      <c r="J9" s="4">
        <f>IF(I9=0,"N/A",C9/I9)</f>
        <v/>
      </c>
    </row>
    <row r="10">
      <c r="A10" s="3" t="inlineStr">
        <is>
          <t>F-01</t>
        </is>
      </c>
      <c r="B10" s="3" t="inlineStr">
        <is>
          <t>Security</t>
        </is>
      </c>
      <c r="C10" s="3">
        <f>COUNTIFS('Test Suite'!$B$2:$B$36,$A10,'Test Suite'!$D$2:$D$36,$B10,'Test Suite'!$M$2:$M$36,"Passed")</f>
        <v/>
      </c>
      <c r="D10" s="3">
        <f>COUNTIFS('Test Suite'!$B$2:$B$36,$A10,'Test Suite'!$D$2:$D$36,$B10,'Test Suite'!$M$2:$M$36,"Failed")</f>
        <v/>
      </c>
      <c r="E10" s="3">
        <f>COUNTIFS('Test Suite'!$B$2:$B$36,$A10,'Test Suite'!$D$2:$D$36,$B10,'Test Suite'!$M$2:$M$36,"Partially Implemented")</f>
        <v/>
      </c>
      <c r="F10" s="3">
        <f>COUNTIFS('Test Suite'!$B$2:$B$36,$A10,'Test Suite'!$D$2:$D$36,$B10,'Test Suite'!$M$2:$M$36,"Not Implemented")</f>
        <v/>
      </c>
      <c r="G10" s="3">
        <f>COUNTIFS('Test Suite'!$B$2:$B$36,$A10,'Test Suite'!$D$2:$D$36,$B10,'Test Suite'!$M$2:$M$36,"Blocked")</f>
        <v/>
      </c>
      <c r="H10" s="3">
        <f>COUNTIFS('Test Suite'!$B$2:$B$36,$A10,'Test Suite'!$D$2:$D$36,$B10,'Test Suite'!$M$2:$M$36,"Not Applicable")</f>
        <v/>
      </c>
      <c r="I10" s="3">
        <f>SUM(C10:H10)</f>
        <v/>
      </c>
      <c r="J10" s="4">
        <f>IF(I10=0,"N/A",C10/I10)</f>
        <v/>
      </c>
    </row>
    <row r="11">
      <c r="A11" s="3" t="inlineStr">
        <is>
          <t>F-01</t>
        </is>
      </c>
      <c r="B11" s="3" t="inlineStr">
        <is>
          <t>Performance</t>
        </is>
      </c>
      <c r="C11" s="3">
        <f>COUNTIFS('Test Suite'!$B$2:$B$36,$A11,'Test Suite'!$D$2:$D$36,$B11,'Test Suite'!$M$2:$M$36,"Passed")</f>
        <v/>
      </c>
      <c r="D11" s="3">
        <f>COUNTIFS('Test Suite'!$B$2:$B$36,$A11,'Test Suite'!$D$2:$D$36,$B11,'Test Suite'!$M$2:$M$36,"Failed")</f>
        <v/>
      </c>
      <c r="E11" s="3">
        <f>COUNTIFS('Test Suite'!$B$2:$B$36,$A11,'Test Suite'!$D$2:$D$36,$B11,'Test Suite'!$M$2:$M$36,"Partially Implemented")</f>
        <v/>
      </c>
      <c r="F11" s="3">
        <f>COUNTIFS('Test Suite'!$B$2:$B$36,$A11,'Test Suite'!$D$2:$D$36,$B11,'Test Suite'!$M$2:$M$36,"Not Implemented")</f>
        <v/>
      </c>
      <c r="G11" s="3">
        <f>COUNTIFS('Test Suite'!$B$2:$B$36,$A11,'Test Suite'!$D$2:$D$36,$B11,'Test Suite'!$M$2:$M$36,"Blocked")</f>
        <v/>
      </c>
      <c r="H11" s="3">
        <f>COUNTIFS('Test Suite'!$B$2:$B$36,$A11,'Test Suite'!$D$2:$D$36,$B11,'Test Suite'!$M$2:$M$36,"Not Applicable")</f>
        <v/>
      </c>
      <c r="I11" s="3">
        <f>SUM(C11:H11)</f>
        <v/>
      </c>
      <c r="J11" s="4">
        <f>IF(I11=0,"N/A",C11/I11)</f>
        <v/>
      </c>
    </row>
    <row r="12">
      <c r="A12" s="3" t="inlineStr">
        <is>
          <t>F-01</t>
        </is>
      </c>
      <c r="B12" s="3" t="inlineStr">
        <is>
          <t>Responsiveness</t>
        </is>
      </c>
      <c r="C12" s="3">
        <f>COUNTIFS('Test Suite'!$B$2:$B$36,$A12,'Test Suite'!$D$2:$D$36,$B12,'Test Suite'!$M$2:$M$36,"Passed")</f>
        <v/>
      </c>
      <c r="D12" s="3">
        <f>COUNTIFS('Test Suite'!$B$2:$B$36,$A12,'Test Suite'!$D$2:$D$36,$B12,'Test Suite'!$M$2:$M$36,"Failed")</f>
        <v/>
      </c>
      <c r="E12" s="3">
        <f>COUNTIFS('Test Suite'!$B$2:$B$36,$A12,'Test Suite'!$D$2:$D$36,$B12,'Test Suite'!$M$2:$M$36,"Partially Implemented")</f>
        <v/>
      </c>
      <c r="F12" s="3">
        <f>COUNTIFS('Test Suite'!$B$2:$B$36,$A12,'Test Suite'!$D$2:$D$36,$B12,'Test Suite'!$M$2:$M$36,"Not Implemented")</f>
        <v/>
      </c>
      <c r="G12" s="3">
        <f>COUNTIFS('Test Suite'!$B$2:$B$36,$A12,'Test Suite'!$D$2:$D$36,$B12,'Test Suite'!$M$2:$M$36,"Blocked")</f>
        <v/>
      </c>
      <c r="H12" s="3">
        <f>COUNTIFS('Test Suite'!$B$2:$B$36,$A12,'Test Suite'!$D$2:$D$36,$B12,'Test Suite'!$M$2:$M$36,"Not Applicable")</f>
        <v/>
      </c>
      <c r="I12" s="3">
        <f>SUM(C12:H12)</f>
        <v/>
      </c>
      <c r="J12" s="4">
        <f>IF(I12=0,"N/A",C12/I12)</f>
        <v/>
      </c>
    </row>
    <row r="13">
      <c r="A13" s="3" t="inlineStr">
        <is>
          <t>F-01</t>
        </is>
      </c>
      <c r="B13" s="3" t="inlineStr">
        <is>
          <t>Cross-Platform</t>
        </is>
      </c>
      <c r="C13" s="3">
        <f>COUNTIFS('Test Suite'!$B$2:$B$36,$A13,'Test Suite'!$D$2:$D$36,$B13,'Test Suite'!$M$2:$M$36,"Passed")</f>
        <v/>
      </c>
      <c r="D13" s="3">
        <f>COUNTIFS('Test Suite'!$B$2:$B$36,$A13,'Test Suite'!$D$2:$D$36,$B13,'Test Suite'!$M$2:$M$36,"Failed")</f>
        <v/>
      </c>
      <c r="E13" s="3">
        <f>COUNTIFS('Test Suite'!$B$2:$B$36,$A13,'Test Suite'!$D$2:$D$36,$B13,'Test Suite'!$M$2:$M$36,"Partially Implemented")</f>
        <v/>
      </c>
      <c r="F13" s="3">
        <f>COUNTIFS('Test Suite'!$B$2:$B$36,$A13,'Test Suite'!$D$2:$D$36,$B13,'Test Suite'!$M$2:$M$36,"Not Implemented")</f>
        <v/>
      </c>
      <c r="G13" s="3">
        <f>COUNTIFS('Test Suite'!$B$2:$B$36,$A13,'Test Suite'!$D$2:$D$36,$B13,'Test Suite'!$M$2:$M$36,"Blocked")</f>
        <v/>
      </c>
      <c r="H13" s="3">
        <f>COUNTIFS('Test Suite'!$B$2:$B$36,$A13,'Test Suite'!$D$2:$D$36,$B13,'Test Suite'!$M$2:$M$36,"Not Applicable")</f>
        <v/>
      </c>
      <c r="I13" s="3">
        <f>SUM(C13:H13)</f>
        <v/>
      </c>
      <c r="J13" s="4">
        <f>IF(I13=0,"N/A",C13/I13)</f>
        <v/>
      </c>
    </row>
    <row r="14">
      <c r="A14" s="3" t="inlineStr">
        <is>
          <t>F-01</t>
        </is>
      </c>
      <c r="B14" s="3" t="inlineStr">
        <is>
          <t>Role-Based Access</t>
        </is>
      </c>
      <c r="C14" s="3">
        <f>COUNTIFS('Test Suite'!$B$2:$B$36,$A14,'Test Suite'!$D$2:$D$36,$B14,'Test Suite'!$M$2:$M$36,"Passed")</f>
        <v/>
      </c>
      <c r="D14" s="3">
        <f>COUNTIFS('Test Suite'!$B$2:$B$36,$A14,'Test Suite'!$D$2:$D$36,$B14,'Test Suite'!$M$2:$M$36,"Failed")</f>
        <v/>
      </c>
      <c r="E14" s="3">
        <f>COUNTIFS('Test Suite'!$B$2:$B$36,$A14,'Test Suite'!$D$2:$D$36,$B14,'Test Suite'!$M$2:$M$36,"Partially Implemented")</f>
        <v/>
      </c>
      <c r="F14" s="3">
        <f>COUNTIFS('Test Suite'!$B$2:$B$36,$A14,'Test Suite'!$D$2:$D$36,$B14,'Test Suite'!$M$2:$M$36,"Not Implemented")</f>
        <v/>
      </c>
      <c r="G14" s="3">
        <f>COUNTIFS('Test Suite'!$B$2:$B$36,$A14,'Test Suite'!$D$2:$D$36,$B14,'Test Suite'!$M$2:$M$36,"Blocked")</f>
        <v/>
      </c>
      <c r="H14" s="3">
        <f>COUNTIFS('Test Suite'!$B$2:$B$36,$A14,'Test Suite'!$D$2:$D$36,$B14,'Test Suite'!$M$2:$M$36,"Not Applicable")</f>
        <v/>
      </c>
      <c r="I14" s="3">
        <f>SUM(C14:H14)</f>
        <v/>
      </c>
      <c r="J14" s="4">
        <f>IF(I14=0,"N/A",C14/I14)</f>
        <v/>
      </c>
    </row>
    <row r="15">
      <c r="A15" s="3" t="inlineStr">
        <is>
          <t>F-01</t>
        </is>
      </c>
      <c r="B15" s="3" t="inlineStr">
        <is>
          <t>Data Validation</t>
        </is>
      </c>
      <c r="C15" s="3">
        <f>COUNTIFS('Test Suite'!$B$2:$B$36,$A15,'Test Suite'!$D$2:$D$36,$B15,'Test Suite'!$M$2:$M$36,"Passed")</f>
        <v/>
      </c>
      <c r="D15" s="3">
        <f>COUNTIFS('Test Suite'!$B$2:$B$36,$A15,'Test Suite'!$D$2:$D$36,$B15,'Test Suite'!$M$2:$M$36,"Failed")</f>
        <v/>
      </c>
      <c r="E15" s="3">
        <f>COUNTIFS('Test Suite'!$B$2:$B$36,$A15,'Test Suite'!$D$2:$D$36,$B15,'Test Suite'!$M$2:$M$36,"Partially Implemented")</f>
        <v/>
      </c>
      <c r="F15" s="3">
        <f>COUNTIFS('Test Suite'!$B$2:$B$36,$A15,'Test Suite'!$D$2:$D$36,$B15,'Test Suite'!$M$2:$M$36,"Not Implemented")</f>
        <v/>
      </c>
      <c r="G15" s="3">
        <f>COUNTIFS('Test Suite'!$B$2:$B$36,$A15,'Test Suite'!$D$2:$D$36,$B15,'Test Suite'!$M$2:$M$36,"Blocked")</f>
        <v/>
      </c>
      <c r="H15" s="3">
        <f>COUNTIFS('Test Suite'!$B$2:$B$36,$A15,'Test Suite'!$D$2:$D$36,$B15,'Test Suite'!$M$2:$M$36,"Not Applicable")</f>
        <v/>
      </c>
      <c r="I15" s="3">
        <f>SUM(C15:H15)</f>
        <v/>
      </c>
      <c r="J15" s="4">
        <f>IF(I15=0,"N/A",C15/I15)</f>
        <v/>
      </c>
    </row>
    <row r="16">
      <c r="A16" s="3" t="inlineStr">
        <is>
          <t>F-01</t>
        </is>
      </c>
      <c r="B16" s="3" t="inlineStr">
        <is>
          <t>Regression</t>
        </is>
      </c>
      <c r="C16" s="3">
        <f>COUNTIFS('Test Suite'!$B$2:$B$36,$A16,'Test Suite'!$D$2:$D$36,$B16,'Test Suite'!$M$2:$M$36,"Passed")</f>
        <v/>
      </c>
      <c r="D16" s="3">
        <f>COUNTIFS('Test Suite'!$B$2:$B$36,$A16,'Test Suite'!$D$2:$D$36,$B16,'Test Suite'!$M$2:$M$36,"Failed")</f>
        <v/>
      </c>
      <c r="E16" s="3">
        <f>COUNTIFS('Test Suite'!$B$2:$B$36,$A16,'Test Suite'!$D$2:$D$36,$B16,'Test Suite'!$M$2:$M$36,"Partially Implemented")</f>
        <v/>
      </c>
      <c r="F16" s="3">
        <f>COUNTIFS('Test Suite'!$B$2:$B$36,$A16,'Test Suite'!$D$2:$D$36,$B16,'Test Suite'!$M$2:$M$36,"Not Implemented")</f>
        <v/>
      </c>
      <c r="G16" s="3">
        <f>COUNTIFS('Test Suite'!$B$2:$B$36,$A16,'Test Suite'!$D$2:$D$36,$B16,'Test Suite'!$M$2:$M$36,"Blocked")</f>
        <v/>
      </c>
      <c r="H16" s="3">
        <f>COUNTIFS('Test Suite'!$B$2:$B$36,$A16,'Test Suite'!$D$2:$D$36,$B16,'Test Suite'!$M$2:$M$36,"Not Applicable")</f>
        <v/>
      </c>
      <c r="I16" s="3">
        <f>SUM(C16:H16)</f>
        <v/>
      </c>
      <c r="J16" s="4">
        <f>IF(I16=0,"N/A",C16/I16)</f>
        <v/>
      </c>
    </row>
  </sheetData>
  <autoFilter ref="A1:J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2" customWidth="1" min="3" max="3"/>
    <col width="10" customWidth="1" min="4" max="4"/>
    <col width="10" customWidth="1" min="5" max="5"/>
    <col width="16" customWidth="1" min="6" max="6"/>
    <col width="16" customWidth="1" min="7" max="7"/>
    <col width="10" customWidth="1" min="8" max="8"/>
    <col width="12" customWidth="1" min="9" max="9"/>
    <col width="16" customWidth="1" min="10" max="10"/>
    <col width="24" customWidth="1" min="11" max="11"/>
    <col width="30" customWidth="1" min="12" max="12"/>
    <col width="30" customWidth="1" min="13" max="13"/>
    <col width="26" customWidth="1" min="14" max="14"/>
  </cols>
  <sheetData>
    <row r="1">
      <c r="A1" s="1" t="inlineStr">
        <is>
          <t>Feature ID</t>
        </is>
      </c>
      <c r="B1" s="1" t="inlineStr">
        <is>
          <t>Feature Name</t>
        </is>
      </c>
      <c r="C1" s="1" t="inlineStr">
        <is>
          <t>Total Test Cases</t>
        </is>
      </c>
      <c r="D1" s="1" t="inlineStr">
        <is>
          <t>Passed</t>
        </is>
      </c>
      <c r="E1" s="1" t="inlineStr">
        <is>
          <t>Failed</t>
        </is>
      </c>
      <c r="F1" s="1" t="inlineStr">
        <is>
          <t>Partially Implemented</t>
        </is>
      </c>
      <c r="G1" s="1" t="inlineStr">
        <is>
          <t>Not Implemented</t>
        </is>
      </c>
      <c r="H1" s="1" t="inlineStr">
        <is>
          <t>Blocked</t>
        </is>
      </c>
      <c r="I1" s="1" t="inlineStr">
        <is>
          <t>Not Applicable</t>
        </is>
      </c>
      <c r="J1" s="1" t="inlineStr">
        <is>
          <t>Open Critical/High Findings</t>
        </is>
      </c>
      <c r="K1" s="1" t="inlineStr">
        <is>
          <t>Overall Readiness Verdict</t>
        </is>
      </c>
      <c r="L1" s="1" t="inlineStr">
        <is>
          <t>Key Risks</t>
        </is>
      </c>
      <c r="M1" s="1" t="inlineStr">
        <is>
          <t>Blocking Issues</t>
        </is>
      </c>
      <c r="N1" s="1" t="inlineStr">
        <is>
          <t>Notes</t>
        </is>
      </c>
    </row>
    <row r="2">
      <c r="A2" s="2" t="inlineStr">
        <is>
          <t>F-01</t>
        </is>
      </c>
      <c r="B2" s="2" t="inlineStr">
        <is>
          <t>Change Postpaid Plan journey</t>
        </is>
      </c>
      <c r="C2" s="2">
        <f>COUNTIF('Test Suite'!$B$2:$B$36,$A2)</f>
        <v/>
      </c>
      <c r="D2" s="2">
        <f>COUNTIFS('Test Suite'!$B$2:$B$36,$A2,'Test Suite'!$M$2:$M$36,"Passed")</f>
        <v/>
      </c>
      <c r="E2" s="2">
        <f>COUNTIFS('Test Suite'!$B$2:$B$36,$A2,'Test Suite'!$M$2:$M$36,"Failed")</f>
        <v/>
      </c>
      <c r="F2" s="2">
        <f>COUNTIFS('Test Suite'!$B$2:$B$36,$A2,'Test Suite'!$M$2:$M$36,"Partially Implemented")</f>
        <v/>
      </c>
      <c r="G2" s="2">
        <f>COUNTIFS('Test Suite'!$B$2:$B$36,$A2,'Test Suite'!$M$2:$M$36,"Not Implemented")</f>
        <v/>
      </c>
      <c r="H2" s="2">
        <f>COUNTIFS('Test Suite'!$B$2:$B$36,$A2,'Test Suite'!$M$2:$M$36,"Blocked")</f>
        <v/>
      </c>
      <c r="I2" s="2">
        <f>COUNTIFS('Test Suite'!$B$2:$B$36,$A2,'Test Suite'!$M$2:$M$36,"Not Applicable")</f>
        <v/>
      </c>
      <c r="J2" s="2">
        <f>COUNTIFS('Audit Findings'!$B$2:$B$6,$A2,'Audit Findings'!$I$2:$I$6,"Failed",'Audit Findings'!$J$2:$J$6,"Critical")+COUNTIFS('Audit Findings'!$B$2:$B$6,$A2,'Audit Findings'!$I$2:$I$6,"Failed",'Audit Findings'!$J$2:$J$6,"High")</f>
        <v/>
      </c>
      <c r="K2" s="2" t="inlineStr">
        <is>
          <t>Ready with Minor Issues</t>
        </is>
      </c>
      <c r="L2" s="2" t="inlineStr">
        <is>
          <t>Direct-URL access is not enforced by role; the journey reads another person's billing email for 15 of 61 accounts; checkout and CAF reuse new-connection terms whose applicability is unconfirmed and CAF text is placeholder.</t>
        </is>
      </c>
      <c r="M2" s="2" t="inlineStr">
        <is>
          <t>None blocking the core workflow. Signature, payment and confirmation were not verified live (blocked), and there is no written spec for this journey: requirements come from code, your instructions and tests (R-06, R-07, R-13 and R-14 are explicitly inferred).</t>
        </is>
      </c>
      <c r="N2" s="2" t="inlineStr">
        <is>
          <t>Core path verified live to the CAF step: identify (scan/MOI), 6 lines, plan list without the current plan, pricing. Submit, line move, approval routing and gating verified by 35 automated tests. Workbook formulas were not recalculated (LibreOffice and recalc.py are not available here); Excel computes them on open.</t>
        </is>
      </c>
    </row>
  </sheetData>
  <autoFilter ref="A1:N1"/>
  <dataValidations count="1">
    <dataValidation sqref="K2" showDropDown="0" showInputMessage="0" showErrorMessage="0" allowBlank="1" type="list">
      <formula1>"Ready,Ready with Minor Issues,Not Ready,Blocked"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2026-10-18T17:27:03Z</dcterms:created>
  <dcterms:modified xmlns:dcterms="http://purl.org/dc/terms/" xmlns:xsi="http://www.w3.org/2001/XMLSchema-instance" xsi:type="dcterms:W3CDTF">2026-10-18T17:27:03Z</dcterms:modified>
</cp:coreProperties>
</file>