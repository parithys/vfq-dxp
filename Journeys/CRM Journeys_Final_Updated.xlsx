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parithimalsaravanan/Library/CloudStorage/OneDrive-Wipro/Wipro (Projects)/2026/VFQ/02. Business Docs - from VFQ/"/>
    </mc:Choice>
  </mc:AlternateContent>
  <xr:revisionPtr revIDLastSave="0" documentId="13_ncr:1_{B8CB9670-CA1A-3C4D-9585-1E9789428A99}" xr6:coauthVersionLast="47" xr6:coauthVersionMax="47" xr10:uidLastSave="{00000000-0000-0000-0000-000000000000}"/>
  <bookViews>
    <workbookView xWindow="0" yWindow="780" windowWidth="41120" windowHeight="25800" activeTab="1" xr2:uid="{5046EC29-2777-4D9F-9DD1-9ACB948D7936}"/>
  </bookViews>
  <sheets>
    <sheet name="Raw" sheetId="2" r:id="rId1"/>
    <sheet name="Open UI Features" sheetId="7" r:id="rId2"/>
    <sheet name="Summary Combination List" sheetId="8" r:id="rId3"/>
    <sheet name="Sheet1" sheetId="3" state="hidden" r:id="rId4"/>
    <sheet name="Summary" sheetId="4" state="hidden" r:id="rId5"/>
    <sheet name="Summary_Sheet1" sheetId="6" state="hidden" r:id="rId6"/>
  </sheets>
  <definedNames>
    <definedName name="_xlnm._FilterDatabase" localSheetId="1" hidden="1">'Open UI Features'!$A$1:$K$166</definedName>
    <definedName name="_xlnm._FilterDatabase" localSheetId="0" hidden="1">Raw!$A$1:$H$166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7" l="1"/>
  <c r="A4" i="7" s="1"/>
  <c r="A5" i="7" s="1"/>
  <c r="A6" i="7" s="1"/>
  <c r="A7" i="7" s="1"/>
  <c r="A8" i="7" s="1"/>
  <c r="A9" i="7" s="1"/>
  <c r="A10" i="7" s="1"/>
  <c r="A11" i="7" s="1"/>
  <c r="A12" i="7" s="1"/>
  <c r="A13" i="7" s="1"/>
  <c r="A14" i="7" s="1"/>
  <c r="A15" i="7" s="1"/>
  <c r="A16" i="7" s="1"/>
  <c r="A17" i="7" s="1"/>
  <c r="A18" i="7" s="1"/>
  <c r="A19" i="7" s="1"/>
  <c r="A20" i="7" s="1"/>
  <c r="A21" i="7" s="1"/>
  <c r="A22" i="7" s="1"/>
  <c r="A23" i="7" s="1"/>
  <c r="A24" i="7" s="1"/>
  <c r="A25" i="7" s="1"/>
  <c r="A26" i="7" s="1"/>
  <c r="A27" i="7" s="1"/>
  <c r="A28" i="7" s="1"/>
  <c r="A29"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60" i="7" s="1"/>
  <c r="A61" i="7" s="1"/>
  <c r="A62" i="7" s="1"/>
  <c r="A63" i="7" s="1"/>
  <c r="A64" i="7" s="1"/>
  <c r="A65" i="7" s="1"/>
  <c r="A66" i="7" s="1"/>
  <c r="A67" i="7" s="1"/>
  <c r="A68" i="7" s="1"/>
  <c r="A69" i="7" s="1"/>
  <c r="A70" i="7" s="1"/>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A110" i="7" s="1"/>
  <c r="A111" i="7" s="1"/>
  <c r="A112" i="7" s="1"/>
  <c r="A113" i="7" s="1"/>
  <c r="A114" i="7" s="1"/>
  <c r="A115" i="7" s="1"/>
  <c r="A116" i="7" s="1"/>
  <c r="A117" i="7" s="1"/>
  <c r="A118" i="7" s="1"/>
  <c r="A119" i="7" s="1"/>
  <c r="A120" i="7" s="1"/>
  <c r="A121" i="7" s="1"/>
  <c r="A122" i="7" s="1"/>
  <c r="A123" i="7" s="1"/>
  <c r="A124" i="7" s="1"/>
  <c r="A125" i="7" s="1"/>
  <c r="A126" i="7" s="1"/>
  <c r="A127" i="7" s="1"/>
  <c r="A128" i="7" s="1"/>
  <c r="A129" i="7" s="1"/>
  <c r="A130" i="7" s="1"/>
  <c r="A131" i="7" s="1"/>
  <c r="A132" i="7" s="1"/>
  <c r="A133" i="7" s="1"/>
  <c r="A134" i="7" s="1"/>
  <c r="A135" i="7" s="1"/>
  <c r="A136" i="7" s="1"/>
  <c r="A137" i="7" s="1"/>
  <c r="A138" i="7" s="1"/>
  <c r="A139" i="7" s="1"/>
  <c r="A140" i="7" s="1"/>
  <c r="A141" i="7" s="1"/>
  <c r="A142" i="7" s="1"/>
  <c r="A143" i="7" s="1"/>
  <c r="A144" i="7" s="1"/>
  <c r="A145" i="7" s="1"/>
  <c r="A146" i="7" s="1"/>
  <c r="A147" i="7" s="1"/>
  <c r="A148" i="7" s="1"/>
  <c r="A149" i="7" s="1"/>
  <c r="A150" i="7" s="1"/>
  <c r="A151" i="7" s="1"/>
  <c r="A152" i="7" s="1"/>
  <c r="A153" i="7" s="1"/>
  <c r="A154" i="7" s="1"/>
  <c r="A155" i="7" s="1"/>
  <c r="A156" i="7" s="1"/>
  <c r="A157" i="7" s="1"/>
  <c r="A158" i="7" s="1"/>
  <c r="A159" i="7" s="1"/>
  <c r="A160" i="7" s="1"/>
  <c r="A161" i="7" s="1"/>
  <c r="A162" i="7" s="1"/>
  <c r="A163" i="7" s="1"/>
  <c r="A164" i="7" s="1"/>
  <c r="A165" i="7" s="1"/>
  <c r="A166" i="7" s="1"/>
  <c r="C4" i="6"/>
  <c r="C5" i="6"/>
  <c r="C6" i="6"/>
  <c r="C7" i="6"/>
  <c r="C8" i="6"/>
  <c r="C9" i="6"/>
  <c r="C10" i="6"/>
  <c r="C12" i="6"/>
  <c r="C13" i="6"/>
  <c r="C14" i="6"/>
  <c r="C15" i="6"/>
  <c r="C16" i="6"/>
  <c r="C17" i="6"/>
  <c r="C18" i="6"/>
  <c r="C19" i="6"/>
  <c r="C21" i="6"/>
  <c r="C22" i="6"/>
  <c r="C23" i="6"/>
  <c r="C24" i="6"/>
  <c r="C25" i="6"/>
  <c r="C26" i="6"/>
  <c r="C27" i="6"/>
  <c r="C28" i="6"/>
  <c r="C20" i="4"/>
  <c r="B20" i="4"/>
  <c r="C19" i="4"/>
  <c r="B19" i="4"/>
  <c r="C18" i="4"/>
  <c r="B18" i="4"/>
  <c r="C15" i="4"/>
  <c r="B15" i="4"/>
  <c r="C14" i="4"/>
  <c r="B14" i="4"/>
  <c r="C13" i="4"/>
  <c r="B13" i="4"/>
  <c r="C12" i="4"/>
  <c r="B12" i="4"/>
  <c r="C9" i="4"/>
  <c r="B9" i="4"/>
  <c r="C8" i="4" s="1"/>
  <c r="B8" i="4"/>
  <c r="B7" i="4"/>
  <c r="C6" i="4"/>
  <c r="B6" i="4"/>
  <c r="B5" i="4"/>
  <c r="B4" i="4"/>
  <c r="H4" i="3"/>
  <c r="H3" i="3"/>
  <c r="D7" i="3"/>
  <c r="C27" i="3"/>
  <c r="C16" i="3"/>
  <c r="C7" i="3"/>
  <c r="C11" i="3"/>
  <c r="C28" i="3" s="1"/>
  <c r="C29" i="3" s="1"/>
  <c r="C31" i="3"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C5" i="4" l="1"/>
  <c r="C4" i="4"/>
  <c r="C7" i="4"/>
  <c r="C32" i="3"/>
  <c r="C17" i="3"/>
  <c r="C18" i="3" s="1"/>
  <c r="C21" i="3" s="1"/>
</calcChain>
</file>

<file path=xl/sharedStrings.xml><?xml version="1.0" encoding="utf-8"?>
<sst xmlns="http://schemas.openxmlformats.org/spreadsheetml/2006/main" count="2675" uniqueCount="417">
  <si>
    <t>#</t>
  </si>
  <si>
    <t>Journey Category</t>
  </si>
  <si>
    <t>Journey Type</t>
  </si>
  <si>
    <t>Description</t>
  </si>
  <si>
    <t>Comment</t>
  </si>
  <si>
    <t>Lead</t>
  </si>
  <si>
    <t>Create Lead</t>
  </si>
  <si>
    <t>Creating a lead for new sales as Postpaid, MNP, Fixed Line or for existing customers to Migrate from Pre to Post, Plan upgrade,etc</t>
  </si>
  <si>
    <t>Guided Journey in Open UI Tablet/Action Through Vanilla (Open UI Desktop)</t>
  </si>
  <si>
    <t>Manage Lead</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</si>
  <si>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</si>
  <si>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</si>
  <si>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</si>
  <si>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</si>
  <si>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</si>
  <si>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</si>
  <si>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</si>
  <si>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</si>
  <si>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</si>
  <si>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</si>
  <si>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</si>
  <si>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</si>
  <si>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</si>
  <si>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</si>
  <si>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</si>
  <si>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</si>
  <si>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</si>
  <si>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</si>
  <si>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</si>
  <si>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</si>
  <si>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</si>
  <si>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</si>
  <si>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</si>
  <si>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RFS/Fiber Home Move</t>
  </si>
  <si>
    <t>To Perform Home for Fixed Line Connection from One RFS Location to Another</t>
  </si>
  <si>
    <t>Creating Account</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</si>
  <si>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</si>
  <si>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</si>
  <si>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</si>
  <si>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</si>
  <si>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</si>
  <si>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</si>
  <si>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</si>
  <si>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</si>
  <si>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</si>
  <si>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</si>
  <si>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</si>
  <si>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</si>
  <si>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</si>
  <si>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</si>
  <si>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</si>
  <si>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</si>
  <si>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</si>
  <si>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</si>
  <si>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</si>
  <si>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</si>
  <si>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</si>
  <si>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</si>
  <si>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</si>
  <si>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</si>
  <si>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</si>
  <si>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</si>
  <si>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</si>
  <si>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</si>
  <si>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</si>
  <si>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</si>
  <si>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</si>
  <si>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</si>
  <si>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</si>
  <si>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</si>
  <si>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</si>
  <si>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</si>
  <si>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</si>
  <si>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</si>
  <si>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</si>
  <si>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</si>
  <si>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</si>
  <si>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</si>
  <si>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</si>
  <si>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</si>
  <si>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</si>
  <si>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</si>
  <si>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</si>
  <si>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</si>
  <si>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</si>
  <si>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</si>
  <si>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</si>
  <si>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</si>
  <si>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</si>
  <si>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</si>
  <si>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</si>
  <si>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</si>
  <si>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</si>
  <si>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</si>
  <si>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</si>
  <si>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</si>
  <si>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</si>
  <si>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</si>
  <si>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</si>
  <si>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</si>
  <si>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</si>
  <si>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View &amp; Export Bill  (PDF &amp; XLSX)</t>
  </si>
  <si>
    <t>View the details of Bill Charges and Export Bills</t>
  </si>
  <si>
    <t>View and Manage orders</t>
  </si>
  <si>
    <t>It's a View</t>
  </si>
  <si>
    <t>View in Vanilla (Open UI desktop)</t>
  </si>
  <si>
    <t>View notes</t>
  </si>
  <si>
    <t>View Attachments</t>
  </si>
  <si>
    <t>View Surepay balance</t>
  </si>
  <si>
    <t>View Detailed Usage</t>
  </si>
  <si>
    <t>Escalate Ticket</t>
  </si>
  <si>
    <t>Escalate a Ticket by Assigning it to you and Update Escalate Reason which auto-triggers an email to TT Queue Owner</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</si>
  <si>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</si>
  <si>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</si>
  <si>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</si>
  <si>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</si>
  <si>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</si>
  <si>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</si>
  <si>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</si>
  <si>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</si>
  <si>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</si>
  <si>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</si>
  <si>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</si>
  <si>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</si>
  <si>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</si>
  <si>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</si>
  <si>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</si>
  <si>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</si>
  <si>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</si>
  <si>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</si>
  <si>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</si>
  <si>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</si>
  <si>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</si>
  <si>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</si>
  <si>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</si>
  <si>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</si>
  <si>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</si>
  <si>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</si>
  <si>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</si>
  <si>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</si>
  <si>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</si>
  <si>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</si>
  <si>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</si>
  <si>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</si>
  <si>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</si>
  <si>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</si>
  <si>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</si>
  <si>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</si>
  <si>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</si>
  <si>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</si>
  <si>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</si>
  <si>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</si>
  <si>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</si>
  <si>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</si>
  <si>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</si>
  <si>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</si>
  <si>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</si>
  <si>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</si>
  <si>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</si>
  <si>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</si>
  <si>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</si>
  <si>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</si>
  <si>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</si>
  <si>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</si>
  <si>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</si>
  <si>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</si>
  <si>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</si>
  <si>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</si>
  <si>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</si>
  <si>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</si>
  <si>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</si>
  <si>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</si>
  <si>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</si>
  <si>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</si>
  <si>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</si>
  <si>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</si>
  <si>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</si>
  <si>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</si>
  <si>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</si>
  <si>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</si>
  <si>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</si>
  <si>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</si>
  <si>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</si>
  <si>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</si>
  <si>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</si>
  <si>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</si>
  <si>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</si>
  <si>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</si>
  <si>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</si>
  <si>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</si>
  <si>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</si>
  <si>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</si>
  <si>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</si>
  <si>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</si>
  <si>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</si>
  <si>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</si>
  <si>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</si>
  <si>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</si>
  <si>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</si>
  <si>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</si>
  <si>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</si>
  <si>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</si>
  <si>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</si>
  <si>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</si>
  <si>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</si>
  <si>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</si>
  <si>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</si>
  <si>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</si>
  <si>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</si>
  <si>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</si>
  <si>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</si>
  <si>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</si>
  <si>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</si>
  <si>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</si>
  <si>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</si>
  <si>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</si>
  <si>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</si>
  <si>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</si>
  <si>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</si>
  <si>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</si>
  <si>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</si>
  <si>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</si>
  <si>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</si>
  <si>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</si>
  <si>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</si>
  <si>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</si>
  <si>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</si>
  <si>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</si>
  <si>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</si>
  <si>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</si>
  <si>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</si>
  <si>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</si>
  <si>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</si>
  <si>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</si>
  <si>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</si>
  <si>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</si>
  <si>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</si>
  <si>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</si>
  <si>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</si>
  <si>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</si>
  <si>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</si>
  <si>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</si>
  <si>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</si>
  <si>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</si>
  <si>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</si>
  <si>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</si>
  <si>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</si>
  <si>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</si>
  <si>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</si>
  <si>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</si>
  <si>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</si>
  <si>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</si>
  <si>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</si>
  <si>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</si>
  <si>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</si>
  <si>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</si>
  <si>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</si>
  <si>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</si>
  <si>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</si>
  <si>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</si>
  <si>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</si>
  <si>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</si>
  <si>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</si>
  <si>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</si>
  <si>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</si>
  <si>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</si>
  <si>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</si>
  <si>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</si>
  <si>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</si>
  <si>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</si>
  <si>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</si>
  <si>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</si>
  <si>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</si>
  <si>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</si>
  <si>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</si>
  <si>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</si>
  <si>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</si>
  <si>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</si>
  <si>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</si>
  <si>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</si>
  <si>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</si>
  <si>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</si>
  <si>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</si>
  <si>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</si>
  <si>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</si>
  <si>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</si>
  <si>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</si>
  <si>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</si>
  <si>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</si>
  <si>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</si>
  <si>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</si>
  <si>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</si>
  <si>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</si>
  <si>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</si>
  <si>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</si>
  <si>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</si>
  <si>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</si>
  <si>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</si>
  <si>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</si>
  <si>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</si>
  <si>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SNO</t>
  </si>
  <si>
    <t xml:space="preserve">iTem </t>
  </si>
  <si>
    <t>1 dedicated Vodafone SPOC - Subject Matter Expert to approve flow &amp; clarify doubts daily</t>
  </si>
  <si>
    <t>Journeys</t>
  </si>
  <si>
    <t>Aprox screens - Positive</t>
  </si>
  <si>
    <t>Aprox screens - Negetive</t>
  </si>
  <si>
    <t>Resources working Conditions (excluding ramadan &amp; eid break)</t>
  </si>
  <si>
    <t>Popups</t>
  </si>
  <si>
    <t>Resources to work 5 days a week (including eid)</t>
  </si>
  <si>
    <t>Expected screens Desktop</t>
  </si>
  <si>
    <t>Resources to work 8 hours a day (including Ramadan)</t>
  </si>
  <si>
    <t>No eid break</t>
  </si>
  <si>
    <t>No planned leaves during project</t>
  </si>
  <si>
    <t>Expected screens Tablet</t>
  </si>
  <si>
    <t>Total screens</t>
  </si>
  <si>
    <t>Timelines (Normal)</t>
  </si>
  <si>
    <t>Resources working Conditions (including ramadan hrs &amp; Eid break)</t>
  </si>
  <si>
    <t>Mar 1-31</t>
  </si>
  <si>
    <t>Resources to work 5 days a week (excluding 1 week eid break)</t>
  </si>
  <si>
    <t>Apr 1-30</t>
  </si>
  <si>
    <t>Resources to work 5 hours a day (during Ramadan)</t>
  </si>
  <si>
    <t>Prepare DSM</t>
  </si>
  <si>
    <t>5 days eid break</t>
  </si>
  <si>
    <t xml:space="preserve">Days-1Mar-1May </t>
  </si>
  <si>
    <t>Screens per day to meet target</t>
  </si>
  <si>
    <t>Screens per hour to meet target</t>
  </si>
  <si>
    <t xml:space="preserve">Actual screens per hour </t>
  </si>
  <si>
    <t>Resources required</t>
  </si>
  <si>
    <t>Timelines (Ramadan &amp; Eid)</t>
  </si>
  <si>
    <t>Days-1Mar-1May (with eid holidays)</t>
  </si>
  <si>
    <t>Desktop</t>
  </si>
  <si>
    <t>Tablet</t>
  </si>
  <si>
    <t>Yes</t>
  </si>
  <si>
    <t>No</t>
  </si>
  <si>
    <t>To Activate New IOT Connection</t>
  </si>
  <si>
    <t>Automatic SMS Templates</t>
  </si>
  <si>
    <t>Manual SMS Templates</t>
  </si>
  <si>
    <t>Hashtags</t>
  </si>
  <si>
    <t>Actual Issue</t>
  </si>
  <si>
    <t>Upload Automatic SMS for Tickets which triggers on Ticket Submission based on defined LOVs Logic</t>
  </si>
  <si>
    <t>Upload Manual SMS which is used by teams to Send SMS to Customers for tickets or Calls.</t>
  </si>
  <si>
    <t>Upload Hashtags for Tickets &amp; Call for Tracking the Count of Specific Call Category or Resolution Category</t>
  </si>
  <si>
    <t>Upload Actual for Tickets, to track the actual issue related to complaints for RCA</t>
  </si>
  <si>
    <t>Newly Added on 09th Feb</t>
  </si>
  <si>
    <t>Op : 1 Resources required - 2 + 1 buffer = 3</t>
  </si>
  <si>
    <t>Opt : 2 Resources required - 3 + 1 buffer = 4</t>
  </si>
  <si>
    <t>Journey Types Summary</t>
  </si>
  <si>
    <t>Count</t>
  </si>
  <si>
    <t>% of Total</t>
  </si>
  <si>
    <t>Total</t>
  </si>
  <si>
    <t>Platform Support</t>
  </si>
  <si>
    <t>Desktop Supported (Yes)</t>
  </si>
  <si>
    <t>Tablet Supported (Yes)</t>
  </si>
  <si>
    <t>Both Desktop &amp; Tablet</t>
  </si>
  <si>
    <t>Desktop Only</t>
  </si>
  <si>
    <t>Action Type</t>
  </si>
  <si>
    <t>Action through Vanilla</t>
  </si>
  <si>
    <t>View Only</t>
  </si>
  <si>
    <t>Sheet1 Summary - Project Timeline &amp; Resource Planning</t>
  </si>
  <si>
    <t>Category</t>
  </si>
  <si>
    <t>Metric</t>
  </si>
  <si>
    <t>Value</t>
  </si>
  <si>
    <t>Screen Counts</t>
  </si>
  <si>
    <t>Total Journeys</t>
  </si>
  <si>
    <t>Approx Screens - Positive</t>
  </si>
  <si>
    <t>Approx Screens - Negative</t>
  </si>
  <si>
    <t>Expected Screens Desktop</t>
  </si>
  <si>
    <t>Expected Screens Tablet</t>
  </si>
  <si>
    <t>Total Screens</t>
  </si>
  <si>
    <t>Normal Timeline</t>
  </si>
  <si>
    <t>March Days</t>
  </si>
  <si>
    <t>April Days</t>
  </si>
  <si>
    <t>Prepare DSM Days</t>
  </si>
  <si>
    <t>Total Working Days (Mar-May)</t>
  </si>
  <si>
    <t>Screens per Day Target</t>
  </si>
  <si>
    <t>Screens per Hour Target</t>
  </si>
  <si>
    <t>Actual Screens per Hour</t>
  </si>
  <si>
    <t>Resources Required</t>
  </si>
  <si>
    <t>Ramadan &amp; Eid Timeline</t>
  </si>
  <si>
    <t>Total Working Days (with Eid)</t>
  </si>
  <si>
    <t>Resource Options</t>
  </si>
  <si>
    <t>Option 1 (Normal)</t>
  </si>
  <si>
    <t>2 + 1 buffer = 3 resources</t>
  </si>
  <si>
    <t>Option 2 (Ramadan/Eid)</t>
  </si>
  <si>
    <t>3 + 1 buffer = 4 resources</t>
  </si>
  <si>
    <t>Guided journey Desktop</t>
  </si>
  <si>
    <t>Desktop vanilla</t>
  </si>
  <si>
    <t>no</t>
  </si>
  <si>
    <t>yes</t>
  </si>
  <si>
    <t>EBU</t>
  </si>
  <si>
    <t>CBU</t>
  </si>
  <si>
    <t>Retail cannot change primary contact</t>
  </si>
  <si>
    <t>Bill calculator SMS is not a journey but a capability</t>
  </si>
  <si>
    <t>Not a guided journey but a view</t>
  </si>
  <si>
    <t>View public notes</t>
  </si>
  <si>
    <t>We want this for Tablet</t>
  </si>
  <si>
    <t>Fixed Line</t>
  </si>
  <si>
    <t>FWA</t>
  </si>
  <si>
    <t>Pre to Post</t>
  </si>
  <si>
    <t>Type of Activation</t>
  </si>
  <si>
    <t>Comments</t>
  </si>
  <si>
    <t>Device Instalment</t>
  </si>
  <si>
    <t>Postpaid</t>
  </si>
  <si>
    <t>Combination 1</t>
  </si>
  <si>
    <t>Combination 2</t>
  </si>
  <si>
    <t>Combination 3</t>
  </si>
  <si>
    <t>Star Number</t>
  </si>
  <si>
    <t>N/A</t>
  </si>
  <si>
    <t>Prepaid</t>
  </si>
  <si>
    <t>QID</t>
  </si>
  <si>
    <t>Passport</t>
  </si>
  <si>
    <t>New Customer (Never Availed Fixed Before)</t>
  </si>
  <si>
    <t>Existing Customer (Availed Fixed Before)</t>
  </si>
  <si>
    <t>HRN Customer</t>
  </si>
  <si>
    <t>Non HRN Customer</t>
  </si>
  <si>
    <t>T&amp;Cs Summary</t>
  </si>
  <si>
    <t>Guided journey Tablet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</si>
</sst>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Aptos Narrow"/>
      <family val="2"/>
      <scheme val="minor"/>
    </font>
    <font>
      <sz val="10"/>
      <color theme="1"/>
      <name val="Calibri"/>
      <family val="2"/>
    </font>
    <font>
      <sz val="10"/>
      <color rgb="FF000000"/>
      <name val="Calibri"/>
      <family val="2"/>
    </font>
    <font>
      <sz val="10"/>
      <color rgb="FF4F4F4F"/>
      <name val="Calibri"/>
      <family val="2"/>
    </font>
    <font>
      <b/>
      <sz val="10"/>
      <color theme="0"/>
      <name val="Calibri"/>
      <family val="2"/>
    </font>
    <font>
      <sz val="11"/>
      <color theme="4"/>
      <name val="Aptos Narrow"/>
      <family val="2"/>
      <scheme val="minor"/>
    </font>
    <font>
      <b/>
      <sz val="11"/>
      <color theme="1"/>
      <name val="Aptos Narrow"/>
      <family val="2"/>
      <scheme val="minor"/>
    </font>
    <font>
      <b/>
      <sz val="11"/>
      <color rgb="FFFF0000"/>
      <name val="Aptos Narrow"/>
      <family val="2"/>
      <scheme val="minor"/>
    </font>
    <font>
      <sz val="10"/>
      <color rgb="FF00B050"/>
      <name val="Calibri"/>
      <family val="2"/>
    </font>
    <font>
      <sz val="10"/>
      <color rgb="FFFF0000"/>
      <name val="Calibri"/>
      <family val="2"/>
    </font>
    <font>
      <b/>
      <sz val="16"/>
      <color theme="1"/>
      <name val="Aptos Narrow"/>
      <family val="2"/>
      <scheme val="minor"/>
    </font>
    <font>
      <b/>
      <sz val="11"/>
      <color rgb="FFFFFFFF"/>
      <name val="Aptos Narrow"/>
      <family val="2"/>
      <scheme val="minor"/>
    </font>
    <font>
      <b/>
      <sz val="14"/>
      <color rgb="FFFFFFFF"/>
      <name val="Aptos Narrow"/>
      <family val="2"/>
      <scheme val="minor"/>
    </font>
    <font>
      <b/>
      <sz val="11"/>
      <color theme="0"/>
      <name val="Aptos Narrow"/>
      <family val="2"/>
      <scheme val="minor"/>
    </font>
    <font>
      <sz val="10"/>
      <color rgb="FFC00000"/>
      <name val="Calibri"/>
      <family val="2"/>
    </font>
  </fonts>
  <fills count="11">
    <fill>
      <patternFill patternType="none"/>
    </fill>
    <fill>
      <patternFill patternType="gray125"/>
    </fill>
    <fill>
      <patternFill patternType="solid">
        <fgColor theme="3" tint="0.89999084444715716"/>
        <bgColor indexed="64"/>
      </patternFill>
    </fill>
    <fill>
      <patternFill patternType="solid">
        <fgColor theme="1" tint="0.14999847407452621"/>
        <bgColor indexed="64"/>
      </patternFill>
    </fill>
    <fill>
      <patternFill patternType="solid">
        <fgColor theme="5" tint="0.79998168889431442"/>
        <bgColor indexed="64"/>
      </patternFill>
    </fill>
    <fill>
      <patternFill patternType="solid">
        <fgColor rgb="FF00B050"/>
        <bgColor indexed="64"/>
      </patternFill>
    </fill>
    <fill>
      <patternFill patternType="solid">
        <fgColor rgb="FF4472C4"/>
        <bgColor indexed="64"/>
      </patternFill>
    </fill>
    <fill>
      <patternFill patternType="solid">
        <fgColor rgb="FFD9E2F3"/>
        <bgColor indexed="64"/>
      </patternFill>
    </fill>
    <fill>
      <patternFill patternType="solid">
        <fgColor rgb="FFE2EFDA"/>
        <bgColor indexed="64"/>
      </patternFill>
    </fill>
    <fill>
      <patternFill patternType="solid">
        <fgColor rgb="FFFFFF00"/>
        <bgColor indexed="64"/>
      </patternFill>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5" fillId="0" borderId="0" xfId="0" applyFont="1"/>
    <xf numFmtId="0" fontId="6" fillId="0" borderId="0" xfId="0" applyFont="1"/>
    <xf numFmtId="0" fontId="7" fillId="0" borderId="0" xfId="0" applyFont="1"/>
    <xf numFmtId="0" fontId="0" fillId="0" borderId="0" xfId="0" applyAlignment="1">
      <alignment horizontal="center"/>
    </xf>
    <xf numFmtId="0" fontId="0" fillId="2" borderId="0" xfId="0" applyFill="1" applyAlignment="1">
      <alignment horizontal="center"/>
    </xf>
    <xf numFmtId="0" fontId="6" fillId="2" borderId="0" xfId="0" applyFont="1" applyFill="1"/>
    <xf numFmtId="0" fontId="0" fillId="2" borderId="0" xfId="0" applyFill="1"/>
    <xf numFmtId="0" fontId="0" fillId="4" borderId="0" xfId="0" applyFill="1" applyAlignment="1">
      <alignment horizontal="center"/>
    </xf>
    <xf numFmtId="0" fontId="0" fillId="4" borderId="0" xfId="0" applyFill="1"/>
    <xf numFmtId="1" fontId="0" fillId="4" borderId="0" xfId="0" applyNumberFormat="1" applyFill="1"/>
    <xf numFmtId="1" fontId="0" fillId="0" borderId="0" xfId="0" applyNumberFormat="1"/>
    <xf numFmtId="1" fontId="7" fillId="0" borderId="0" xfId="0" applyNumberFormat="1" applyFont="1"/>
    <xf numFmtId="0" fontId="1" fillId="0" borderId="2" xfId="0" applyFont="1" applyBorder="1" applyAlignment="1">
      <alignment horizontal="center" vertical="center" wrapText="1"/>
    </xf>
    <xf numFmtId="0" fontId="1" fillId="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10" fillId="0" borderId="0" xfId="0" applyFont="1"/>
    <xf numFmtId="0" fontId="6" fillId="7" borderId="0" xfId="0" applyFont="1" applyFill="1"/>
    <xf numFmtId="0" fontId="0" fillId="0" borderId="1" xfId="0" applyBorder="1"/>
    <xf numFmtId="0" fontId="6" fillId="7" borderId="1" xfId="0" applyFont="1" applyFill="1" applyBorder="1"/>
    <xf numFmtId="0" fontId="11" fillId="6" borderId="1" xfId="0" applyFont="1" applyFill="1" applyBorder="1"/>
    <xf numFmtId="164" fontId="0" fillId="0" borderId="1" xfId="0" applyNumberFormat="1" applyBorder="1"/>
    <xf numFmtId="164" fontId="6" fillId="7" borderId="1" xfId="0" applyNumberFormat="1" applyFont="1" applyFill="1" applyBorder="1"/>
    <xf numFmtId="0" fontId="6" fillId="8" borderId="0" xfId="0" applyFont="1" applyFill="1"/>
    <xf numFmtId="0" fontId="1" fillId="9"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0" fillId="0" borderId="1" xfId="0" applyBorder="1" applyAlignment="1">
      <alignment horizontal="center"/>
    </xf>
    <xf numFmtId="0" fontId="13" fillId="10" borderId="1" xfId="0" applyFont="1" applyFill="1" applyBorder="1" applyAlignment="1">
      <alignment horizontal="center"/>
    </xf>
    <xf numFmtId="0" fontId="12" fillId="6" borderId="0" xfId="0" applyFont="1" applyFill="1" applyAlignment="1">
      <alignment horizont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360D4-9054-4549-934B-265CB58B0A95}">
  <dimension ref="A1:H166"/>
  <sheetViews>
    <sheetView showGridLines="0" zoomScale="145" zoomScaleNormal="145" workbookViewId="0">
      <pane xSplit="2" ySplit="1" topLeftCell="C2" activePane="bottomRight" state="frozen"/>
      <selection pane="topRight" activeCell="C1" sqref="C1"/>
      <selection pane="bottomLeft" activeCell="A2" sqref="A2"/>
      <selection pane="bottomRight" activeCell="C7" sqref="C7"/>
    </sheetView>
  </sheetViews>
  <sheetFormatPr baseColWidth="10" defaultColWidth="8.83203125" defaultRowHeight="15" x14ac:dyDescent="0.2"/>
  <cols>
    <col min="1" max="1" width="4" bestFit="1" customWidth="1"/>
    <col min="2" max="2" width="14.6640625" bestFit="1" customWidth="1"/>
    <col min="3" max="3" width="37.5" customWidth="1"/>
    <col min="4" max="4" width="50.6640625" customWidth="1"/>
    <col min="5" max="5" width="49.6640625" bestFit="1" customWidth="1"/>
    <col min="6" max="6" width="7.5" bestFit="1" customWidth="1"/>
    <col min="7" max="7" width="5.83203125" bestFit="1" customWidth="1"/>
    <col min="8" max="8" width="12.83203125" customWidth="1"/>
  </cols>
  <sheetData>
    <row r="1" spans="1:7" x14ac:dyDescent="0.2">
      <c r="A1" s="5" t="s">
        <v>0</v>
      </c>
      <c r="B1" s="5" t="s">
        <v>1</v>
      </c>
      <c r="C1" s="5" t="s">
        <v>2</v>
      </c>
      <c r="D1" s="5" t="s">
        <v>3</v>
      </c>
      <c r="E1" s="5" t="s">
        <v>4</v>
      </c>
      <c r="F1" s="5" t="s">
        <v>330</v>
      </c>
      <c r="G1" s="5" t="s">
        <v>331</v>
      </c>
    </row>
    <row r="2" spans="1:7" ht="30" x14ac:dyDescent="0.2">
      <c r="A2" s="1">
        <v>1</v>
      </c>
      <c r="B2" s="1" t="s">
        <v>5</v>
      </c>
      <c r="C2" s="1" t="s">
        <v>6</v>
      </c>
      <c r="D2" s="1" t="s">
        <v>7</v>
      </c>
      <c r="E2" s="1" t="s">
        <v>8</v>
      </c>
      <c r="F2" s="21" t="s">
        <v>332</v>
      </c>
      <c r="G2" s="21" t="s">
        <v>332</v>
      </c>
    </row>
    <row r="3" spans="1:7" ht="30" x14ac:dyDescent="0.2">
      <c r="A3" s="1">
        <f>A2+1</f>
        <v>2</v>
      </c>
      <c r="B3" s="1" t="s">
        <v>5</v>
      </c>
      <c r="C3" s="1" t="s">
        <v>9</v>
      </c>
      <c r="D3" s="1" t="s">
        <v>10</v>
      </c>
      <c r="E3" s="1" t="s">
        <v>8</v>
      </c>
      <c r="F3" s="21" t="s">
        <v>332</v>
      </c>
      <c r="G3" s="21" t="s">
        <v>332</v>
      </c>
    </row>
    <row r="4" spans="1:7" ht="30" x14ac:dyDescent="0.2">
      <c r="A4" s="1">
        <f t="shared" ref="A4:A67" si="0">A3+1</f>
        <v>3</v>
      </c>
      <c r="B4" s="1" t="s">
        <v>5</v>
      </c>
      <c r="C4" s="1" t="s">
        <v>11</v>
      </c>
      <c r="D4" s="1" t="s">
        <v>12</v>
      </c>
      <c r="E4" s="1" t="s">
        <v>8</v>
      </c>
      <c r="F4" s="21" t="s">
        <v>332</v>
      </c>
      <c r="G4" s="21" t="s">
        <v>332</v>
      </c>
    </row>
    <row r="5" spans="1:7" x14ac:dyDescent="0.2">
      <c r="A5" s="1">
        <f t="shared" si="0"/>
        <v>4</v>
      </c>
      <c r="B5" s="1" t="s">
        <v>13</v>
      </c>
      <c r="C5" s="1" t="s">
        <v>14</v>
      </c>
      <c r="D5" s="1" t="s">
        <v>15</v>
      </c>
      <c r="E5" s="1" t="s">
        <v>16</v>
      </c>
      <c r="F5" s="21" t="s">
        <v>332</v>
      </c>
      <c r="G5" s="22" t="s">
        <v>333</v>
      </c>
    </row>
    <row r="6" spans="1:7" x14ac:dyDescent="0.2">
      <c r="A6" s="1">
        <f t="shared" si="0"/>
        <v>5</v>
      </c>
      <c r="B6" s="1" t="s">
        <v>13</v>
      </c>
      <c r="C6" s="1" t="s">
        <v>17</v>
      </c>
      <c r="D6" s="1" t="s">
        <v>18</v>
      </c>
      <c r="E6" s="1" t="s">
        <v>19</v>
      </c>
      <c r="F6" s="21" t="s">
        <v>332</v>
      </c>
      <c r="G6" s="21" t="s">
        <v>332</v>
      </c>
    </row>
    <row r="7" spans="1:7" x14ac:dyDescent="0.2">
      <c r="A7" s="1">
        <f t="shared" si="0"/>
        <v>6</v>
      </c>
      <c r="B7" s="1" t="s">
        <v>13</v>
      </c>
      <c r="C7" s="1" t="s">
        <v>20</v>
      </c>
      <c r="D7" s="1" t="s">
        <v>21</v>
      </c>
      <c r="E7" s="1" t="s">
        <v>19</v>
      </c>
      <c r="F7" s="21" t="s">
        <v>332</v>
      </c>
      <c r="G7" s="21" t="s">
        <v>332</v>
      </c>
    </row>
    <row r="8" spans="1:7" x14ac:dyDescent="0.2">
      <c r="A8" s="1">
        <f t="shared" si="0"/>
        <v>7</v>
      </c>
      <c r="B8" s="1" t="s">
        <v>13</v>
      </c>
      <c r="C8" s="1" t="s">
        <v>22</v>
      </c>
      <c r="D8" s="1" t="s">
        <v>23</v>
      </c>
      <c r="E8" s="1" t="s">
        <v>19</v>
      </c>
      <c r="F8" s="21" t="s">
        <v>332</v>
      </c>
      <c r="G8" s="21" t="s">
        <v>332</v>
      </c>
    </row>
    <row r="9" spans="1:7" x14ac:dyDescent="0.2">
      <c r="A9" s="1">
        <f t="shared" si="0"/>
        <v>8</v>
      </c>
      <c r="B9" s="1" t="s">
        <v>13</v>
      </c>
      <c r="C9" s="1" t="s">
        <v>24</v>
      </c>
      <c r="D9" s="1" t="s">
        <v>25</v>
      </c>
      <c r="E9" s="1" t="s">
        <v>19</v>
      </c>
      <c r="F9" s="21" t="s">
        <v>332</v>
      </c>
      <c r="G9" s="21" t="s">
        <v>332</v>
      </c>
    </row>
    <row r="10" spans="1:7" x14ac:dyDescent="0.2">
      <c r="A10" s="1">
        <f t="shared" si="0"/>
        <v>9</v>
      </c>
      <c r="B10" s="1" t="s">
        <v>13</v>
      </c>
      <c r="C10" s="1" t="s">
        <v>26</v>
      </c>
      <c r="D10" s="1" t="s">
        <v>27</v>
      </c>
      <c r="E10" s="1" t="s">
        <v>19</v>
      </c>
      <c r="F10" s="21" t="s">
        <v>332</v>
      </c>
      <c r="G10" s="21" t="s">
        <v>332</v>
      </c>
    </row>
    <row r="11" spans="1:7" x14ac:dyDescent="0.2">
      <c r="A11" s="1">
        <f t="shared" si="0"/>
        <v>10</v>
      </c>
      <c r="B11" s="1" t="s">
        <v>13</v>
      </c>
      <c r="C11" s="1" t="s">
        <v>28</v>
      </c>
      <c r="D11" s="1" t="s">
        <v>29</v>
      </c>
      <c r="E11" s="1" t="s">
        <v>19</v>
      </c>
      <c r="F11" s="21" t="s">
        <v>332</v>
      </c>
      <c r="G11" s="21" t="s">
        <v>332</v>
      </c>
    </row>
    <row r="12" spans="1:7" x14ac:dyDescent="0.2">
      <c r="A12" s="1">
        <f t="shared" si="0"/>
        <v>11</v>
      </c>
      <c r="B12" s="1" t="s">
        <v>13</v>
      </c>
      <c r="C12" s="1" t="s">
        <v>30</v>
      </c>
      <c r="D12" s="1" t="s">
        <v>31</v>
      </c>
      <c r="E12" s="1" t="s">
        <v>19</v>
      </c>
      <c r="F12" s="21" t="s">
        <v>332</v>
      </c>
      <c r="G12" s="21" t="s">
        <v>332</v>
      </c>
    </row>
    <row r="13" spans="1:7" x14ac:dyDescent="0.2">
      <c r="A13" s="1">
        <f t="shared" si="0"/>
        <v>12</v>
      </c>
      <c r="B13" s="1" t="s">
        <v>13</v>
      </c>
      <c r="C13" s="1" t="s">
        <v>32</v>
      </c>
      <c r="D13" s="1" t="s">
        <v>334</v>
      </c>
      <c r="E13" s="1" t="s">
        <v>19</v>
      </c>
      <c r="F13" s="21" t="s">
        <v>332</v>
      </c>
      <c r="G13" s="21" t="s">
        <v>332</v>
      </c>
    </row>
    <row r="14" spans="1:7" ht="30" x14ac:dyDescent="0.2">
      <c r="A14" s="1">
        <f t="shared" si="0"/>
        <v>13</v>
      </c>
      <c r="B14" s="1" t="s">
        <v>13</v>
      </c>
      <c r="C14" s="1" t="s">
        <v>33</v>
      </c>
      <c r="D14" s="1" t="s">
        <v>34</v>
      </c>
      <c r="E14" s="1" t="s">
        <v>19</v>
      </c>
      <c r="F14" s="21" t="s">
        <v>332</v>
      </c>
      <c r="G14" s="22" t="s">
        <v>333</v>
      </c>
    </row>
    <row r="15" spans="1:7" ht="30" x14ac:dyDescent="0.2">
      <c r="A15" s="1">
        <f t="shared" si="0"/>
        <v>14</v>
      </c>
      <c r="B15" s="1" t="s">
        <v>13</v>
      </c>
      <c r="C15" s="1" t="s">
        <v>35</v>
      </c>
      <c r="D15" s="1" t="s">
        <v>36</v>
      </c>
      <c r="E15" s="1" t="s">
        <v>37</v>
      </c>
      <c r="F15" s="21" t="s">
        <v>332</v>
      </c>
      <c r="G15" s="22" t="s">
        <v>333</v>
      </c>
    </row>
    <row r="16" spans="1:7" x14ac:dyDescent="0.2">
      <c r="A16" s="1">
        <f t="shared" si="0"/>
        <v>15</v>
      </c>
      <c r="B16" s="1" t="s">
        <v>13</v>
      </c>
      <c r="C16" s="1" t="s">
        <v>38</v>
      </c>
      <c r="D16" s="1" t="s">
        <v>39</v>
      </c>
      <c r="E16" s="1" t="s">
        <v>19</v>
      </c>
      <c r="F16" s="21" t="s">
        <v>332</v>
      </c>
      <c r="G16" s="22" t="s">
        <v>333</v>
      </c>
    </row>
    <row r="17" spans="1:7" ht="30" x14ac:dyDescent="0.2">
      <c r="A17" s="1">
        <f t="shared" si="0"/>
        <v>16</v>
      </c>
      <c r="B17" s="1" t="s">
        <v>13</v>
      </c>
      <c r="C17" s="1" t="s">
        <v>40</v>
      </c>
      <c r="D17" s="1" t="s">
        <v>41</v>
      </c>
      <c r="E17" s="1" t="s">
        <v>37</v>
      </c>
      <c r="F17" s="21" t="s">
        <v>332</v>
      </c>
      <c r="G17" s="22" t="s">
        <v>333</v>
      </c>
    </row>
    <row r="18" spans="1:7" ht="30" x14ac:dyDescent="0.2">
      <c r="A18" s="1">
        <f t="shared" si="0"/>
        <v>17</v>
      </c>
      <c r="B18" s="1" t="s">
        <v>13</v>
      </c>
      <c r="C18" s="2" t="s">
        <v>42</v>
      </c>
      <c r="D18" s="1" t="s">
        <v>43</v>
      </c>
      <c r="E18" s="1" t="s">
        <v>37</v>
      </c>
      <c r="F18" s="21" t="s">
        <v>332</v>
      </c>
      <c r="G18" s="22" t="s">
        <v>333</v>
      </c>
    </row>
    <row r="19" spans="1:7" x14ac:dyDescent="0.2">
      <c r="A19" s="1">
        <f t="shared" si="0"/>
        <v>18</v>
      </c>
      <c r="B19" s="1" t="s">
        <v>13</v>
      </c>
      <c r="C19" s="2" t="s">
        <v>44</v>
      </c>
      <c r="D19" s="1" t="s">
        <v>45</v>
      </c>
      <c r="E19" s="1" t="s">
        <v>37</v>
      </c>
      <c r="F19" s="21" t="s">
        <v>332</v>
      </c>
      <c r="G19" s="22" t="s">
        <v>333</v>
      </c>
    </row>
    <row r="20" spans="1:7" ht="45" x14ac:dyDescent="0.2">
      <c r="A20" s="1">
        <f t="shared" si="0"/>
        <v>19</v>
      </c>
      <c r="B20" s="1" t="s">
        <v>13</v>
      </c>
      <c r="C20" s="2" t="s">
        <v>46</v>
      </c>
      <c r="D20" s="1" t="s">
        <v>47</v>
      </c>
      <c r="E20" s="1" t="s">
        <v>37</v>
      </c>
      <c r="F20" s="21" t="s">
        <v>332</v>
      </c>
      <c r="G20" s="22" t="s">
        <v>333</v>
      </c>
    </row>
    <row r="21" spans="1:7" x14ac:dyDescent="0.2">
      <c r="A21" s="1">
        <f t="shared" si="0"/>
        <v>20</v>
      </c>
      <c r="B21" s="1" t="s">
        <v>13</v>
      </c>
      <c r="C21" s="2" t="s">
        <v>48</v>
      </c>
      <c r="D21" s="1" t="s">
        <v>49</v>
      </c>
      <c r="E21" s="1" t="s">
        <v>37</v>
      </c>
      <c r="F21" s="21" t="s">
        <v>332</v>
      </c>
      <c r="G21" s="22" t="s">
        <v>333</v>
      </c>
    </row>
    <row r="22" spans="1:7" ht="45" x14ac:dyDescent="0.2">
      <c r="A22" s="1">
        <f t="shared" si="0"/>
        <v>21</v>
      </c>
      <c r="B22" s="1" t="s">
        <v>13</v>
      </c>
      <c r="C22" s="2" t="s">
        <v>50</v>
      </c>
      <c r="D22" s="1" t="s">
        <v>51</v>
      </c>
      <c r="E22" s="1" t="s">
        <v>37</v>
      </c>
      <c r="F22" s="21" t="s">
        <v>332</v>
      </c>
      <c r="G22" s="22" t="s">
        <v>333</v>
      </c>
    </row>
    <row r="23" spans="1:7" x14ac:dyDescent="0.2">
      <c r="A23" s="1">
        <f t="shared" si="0"/>
        <v>22</v>
      </c>
      <c r="B23" s="1" t="s">
        <v>52</v>
      </c>
      <c r="C23" s="1" t="s">
        <v>53</v>
      </c>
      <c r="D23" s="1" t="s">
        <v>54</v>
      </c>
      <c r="E23" s="1" t="s">
        <v>37</v>
      </c>
      <c r="F23" s="21" t="s">
        <v>332</v>
      </c>
      <c r="G23" s="22" t="s">
        <v>333</v>
      </c>
    </row>
    <row r="24" spans="1:7" ht="30" x14ac:dyDescent="0.2">
      <c r="A24" s="1">
        <f t="shared" si="0"/>
        <v>23</v>
      </c>
      <c r="B24" s="1" t="s">
        <v>52</v>
      </c>
      <c r="C24" s="1" t="s">
        <v>55</v>
      </c>
      <c r="D24" s="1" t="s">
        <v>56</v>
      </c>
      <c r="E24" s="1" t="s">
        <v>37</v>
      </c>
      <c r="F24" s="21" t="s">
        <v>332</v>
      </c>
      <c r="G24" s="22" t="s">
        <v>333</v>
      </c>
    </row>
    <row r="25" spans="1:7" ht="45" x14ac:dyDescent="0.2">
      <c r="A25" s="1">
        <f t="shared" si="0"/>
        <v>24</v>
      </c>
      <c r="B25" s="1" t="s">
        <v>52</v>
      </c>
      <c r="C25" s="1" t="s">
        <v>57</v>
      </c>
      <c r="D25" s="1" t="s">
        <v>58</v>
      </c>
      <c r="E25" s="1" t="s">
        <v>59</v>
      </c>
      <c r="F25" s="21" t="s">
        <v>332</v>
      </c>
      <c r="G25" s="22" t="s">
        <v>333</v>
      </c>
    </row>
    <row r="26" spans="1:7" x14ac:dyDescent="0.2">
      <c r="A26" s="1">
        <f t="shared" si="0"/>
        <v>25</v>
      </c>
      <c r="B26" s="1" t="s">
        <v>52</v>
      </c>
      <c r="C26" s="1" t="s">
        <v>60</v>
      </c>
      <c r="D26" s="1" t="s">
        <v>61</v>
      </c>
      <c r="E26" s="1" t="s">
        <v>62</v>
      </c>
      <c r="F26" s="21" t="s">
        <v>332</v>
      </c>
      <c r="G26" s="22" t="s">
        <v>333</v>
      </c>
    </row>
    <row r="27" spans="1:7" ht="30" x14ac:dyDescent="0.2">
      <c r="A27" s="1">
        <f t="shared" si="0"/>
        <v>26</v>
      </c>
      <c r="B27" s="1" t="s">
        <v>52</v>
      </c>
      <c r="C27" s="1" t="s">
        <v>63</v>
      </c>
      <c r="D27" s="1" t="s">
        <v>64</v>
      </c>
      <c r="E27" s="1" t="s">
        <v>65</v>
      </c>
      <c r="F27" s="21" t="s">
        <v>332</v>
      </c>
      <c r="G27" s="21" t="s">
        <v>332</v>
      </c>
    </row>
    <row r="28" spans="1:7" ht="60" x14ac:dyDescent="0.2">
      <c r="A28" s="1">
        <f t="shared" si="0"/>
        <v>27</v>
      </c>
      <c r="B28" s="1" t="s">
        <v>52</v>
      </c>
      <c r="C28" s="1" t="s">
        <v>66</v>
      </c>
      <c r="D28" s="1" t="s">
        <v>67</v>
      </c>
      <c r="E28" s="1" t="s">
        <v>65</v>
      </c>
      <c r="F28" s="21" t="s">
        <v>332</v>
      </c>
      <c r="G28" s="22" t="s">
        <v>333</v>
      </c>
    </row>
    <row r="29" spans="1:7" x14ac:dyDescent="0.2">
      <c r="A29" s="1">
        <f t="shared" si="0"/>
        <v>28</v>
      </c>
      <c r="B29" s="1" t="s">
        <v>52</v>
      </c>
      <c r="C29" s="1" t="s">
        <v>68</v>
      </c>
      <c r="D29" s="1" t="s">
        <v>69</v>
      </c>
      <c r="E29" s="1" t="s">
        <v>37</v>
      </c>
      <c r="F29" s="21" t="s">
        <v>332</v>
      </c>
      <c r="G29" s="22" t="s">
        <v>333</v>
      </c>
    </row>
    <row r="30" spans="1:7" ht="30" x14ac:dyDescent="0.2">
      <c r="A30" s="1">
        <f t="shared" si="0"/>
        <v>29</v>
      </c>
      <c r="B30" s="1" t="s">
        <v>52</v>
      </c>
      <c r="C30" s="1" t="s">
        <v>70</v>
      </c>
      <c r="D30" s="1" t="s">
        <v>71</v>
      </c>
      <c r="E30" s="1" t="s">
        <v>37</v>
      </c>
      <c r="F30" s="21" t="s">
        <v>332</v>
      </c>
      <c r="G30" s="22" t="s">
        <v>333</v>
      </c>
    </row>
    <row r="31" spans="1:7" x14ac:dyDescent="0.2">
      <c r="A31" s="1">
        <f t="shared" si="0"/>
        <v>30</v>
      </c>
      <c r="B31" s="1" t="s">
        <v>52</v>
      </c>
      <c r="C31" s="1" t="s">
        <v>72</v>
      </c>
      <c r="D31" s="1" t="s">
        <v>73</v>
      </c>
      <c r="E31" s="1" t="s">
        <v>37</v>
      </c>
      <c r="F31" s="21" t="s">
        <v>332</v>
      </c>
      <c r="G31" s="22" t="s">
        <v>333</v>
      </c>
    </row>
    <row r="32" spans="1:7" ht="30" x14ac:dyDescent="0.2">
      <c r="A32" s="1">
        <f t="shared" si="0"/>
        <v>31</v>
      </c>
      <c r="B32" s="1" t="s">
        <v>52</v>
      </c>
      <c r="C32" s="1" t="s">
        <v>74</v>
      </c>
      <c r="D32" s="1" t="s">
        <v>75</v>
      </c>
      <c r="E32" s="1" t="s">
        <v>37</v>
      </c>
      <c r="F32" s="21" t="s">
        <v>332</v>
      </c>
      <c r="G32" s="21" t="s">
        <v>332</v>
      </c>
    </row>
    <row r="33" spans="1:7" x14ac:dyDescent="0.2">
      <c r="A33" s="1">
        <f t="shared" si="0"/>
        <v>32</v>
      </c>
      <c r="B33" s="1" t="s">
        <v>52</v>
      </c>
      <c r="C33" s="1" t="s">
        <v>76</v>
      </c>
      <c r="D33" s="1" t="s">
        <v>77</v>
      </c>
      <c r="E33" s="1" t="s">
        <v>37</v>
      </c>
      <c r="F33" s="21" t="s">
        <v>332</v>
      </c>
      <c r="G33" s="22" t="s">
        <v>333</v>
      </c>
    </row>
    <row r="34" spans="1:7" x14ac:dyDescent="0.2">
      <c r="A34" s="1">
        <f t="shared" si="0"/>
        <v>33</v>
      </c>
      <c r="B34" s="1" t="s">
        <v>52</v>
      </c>
      <c r="C34" s="1" t="s">
        <v>78</v>
      </c>
      <c r="D34" s="1" t="s">
        <v>79</v>
      </c>
      <c r="E34" s="1" t="s">
        <v>37</v>
      </c>
      <c r="F34" s="21" t="s">
        <v>332</v>
      </c>
      <c r="G34" s="22" t="s">
        <v>333</v>
      </c>
    </row>
    <row r="35" spans="1:7" x14ac:dyDescent="0.2">
      <c r="A35" s="1">
        <f t="shared" si="0"/>
        <v>34</v>
      </c>
      <c r="B35" s="1" t="s">
        <v>52</v>
      </c>
      <c r="C35" s="1" t="s">
        <v>80</v>
      </c>
      <c r="D35" s="1" t="s">
        <v>81</v>
      </c>
      <c r="E35" s="1" t="s">
        <v>37</v>
      </c>
      <c r="F35" s="21" t="s">
        <v>332</v>
      </c>
      <c r="G35" s="22" t="s">
        <v>333</v>
      </c>
    </row>
    <row r="36" spans="1:7" x14ac:dyDescent="0.2">
      <c r="A36" s="1">
        <f t="shared" si="0"/>
        <v>35</v>
      </c>
      <c r="B36" s="1" t="s">
        <v>52</v>
      </c>
      <c r="C36" s="1" t="s">
        <v>82</v>
      </c>
      <c r="D36" s="1" t="s">
        <v>83</v>
      </c>
      <c r="E36" s="1" t="s">
        <v>37</v>
      </c>
      <c r="F36" s="21" t="s">
        <v>332</v>
      </c>
      <c r="G36" s="22" t="s">
        <v>333</v>
      </c>
    </row>
    <row r="37" spans="1:7" ht="30" x14ac:dyDescent="0.2">
      <c r="A37" s="1">
        <f t="shared" si="0"/>
        <v>36</v>
      </c>
      <c r="B37" s="1" t="s">
        <v>52</v>
      </c>
      <c r="C37" s="1" t="s">
        <v>84</v>
      </c>
      <c r="D37" s="1" t="s">
        <v>85</v>
      </c>
      <c r="E37" s="1" t="s">
        <v>37</v>
      </c>
      <c r="F37" s="21" t="s">
        <v>332</v>
      </c>
      <c r="G37" s="22" t="s">
        <v>333</v>
      </c>
    </row>
    <row r="38" spans="1:7" ht="30" x14ac:dyDescent="0.2">
      <c r="A38" s="1">
        <f t="shared" si="0"/>
        <v>37</v>
      </c>
      <c r="B38" s="1" t="s">
        <v>52</v>
      </c>
      <c r="C38" s="1" t="s">
        <v>86</v>
      </c>
      <c r="D38" s="1" t="s">
        <v>87</v>
      </c>
      <c r="E38" s="1" t="s">
        <v>88</v>
      </c>
      <c r="F38" s="21" t="s">
        <v>332</v>
      </c>
      <c r="G38" s="22" t="s">
        <v>333</v>
      </c>
    </row>
    <row r="39" spans="1:7" x14ac:dyDescent="0.2">
      <c r="A39" s="1">
        <f t="shared" si="0"/>
        <v>38</v>
      </c>
      <c r="B39" s="1" t="s">
        <v>52</v>
      </c>
      <c r="C39" s="1" t="s">
        <v>89</v>
      </c>
      <c r="D39" s="1" t="s">
        <v>90</v>
      </c>
      <c r="E39" s="1" t="s">
        <v>37</v>
      </c>
      <c r="F39" s="21" t="s">
        <v>332</v>
      </c>
      <c r="G39" s="22" t="s">
        <v>333</v>
      </c>
    </row>
    <row r="40" spans="1:7" ht="30" x14ac:dyDescent="0.2">
      <c r="A40" s="1">
        <f t="shared" si="0"/>
        <v>39</v>
      </c>
      <c r="B40" s="1" t="s">
        <v>52</v>
      </c>
      <c r="C40" s="1" t="s">
        <v>91</v>
      </c>
      <c r="D40" s="1" t="s">
        <v>92</v>
      </c>
      <c r="E40" s="1" t="s">
        <v>37</v>
      </c>
      <c r="F40" s="21" t="s">
        <v>332</v>
      </c>
      <c r="G40" s="22" t="s">
        <v>333</v>
      </c>
    </row>
    <row r="41" spans="1:7" ht="30" x14ac:dyDescent="0.2">
      <c r="A41" s="1">
        <f t="shared" si="0"/>
        <v>40</v>
      </c>
      <c r="B41" s="1" t="s">
        <v>52</v>
      </c>
      <c r="C41" s="1" t="s">
        <v>93</v>
      </c>
      <c r="D41" s="1" t="s">
        <v>94</v>
      </c>
      <c r="E41" s="1" t="s">
        <v>37</v>
      </c>
      <c r="F41" s="21" t="s">
        <v>332</v>
      </c>
      <c r="G41" s="22" t="s">
        <v>333</v>
      </c>
    </row>
    <row r="42" spans="1:7" x14ac:dyDescent="0.2">
      <c r="A42" s="1">
        <f t="shared" si="0"/>
        <v>41</v>
      </c>
      <c r="B42" s="1" t="s">
        <v>52</v>
      </c>
      <c r="C42" s="1" t="s">
        <v>95</v>
      </c>
      <c r="D42" s="1" t="s">
        <v>96</v>
      </c>
      <c r="E42" s="1" t="s">
        <v>37</v>
      </c>
      <c r="F42" s="21" t="s">
        <v>332</v>
      </c>
      <c r="G42" s="22" t="s">
        <v>333</v>
      </c>
    </row>
    <row r="43" spans="1:7" x14ac:dyDescent="0.2">
      <c r="A43" s="1">
        <f t="shared" si="0"/>
        <v>42</v>
      </c>
      <c r="B43" s="1" t="s">
        <v>52</v>
      </c>
      <c r="C43" s="1" t="s">
        <v>97</v>
      </c>
      <c r="D43" s="1" t="s">
        <v>98</v>
      </c>
      <c r="E43" s="1" t="s">
        <v>37</v>
      </c>
      <c r="F43" s="21" t="s">
        <v>332</v>
      </c>
      <c r="G43" s="22" t="s">
        <v>333</v>
      </c>
    </row>
    <row r="44" spans="1:7" ht="45" x14ac:dyDescent="0.2">
      <c r="A44" s="1">
        <f t="shared" si="0"/>
        <v>43</v>
      </c>
      <c r="B44" s="1" t="s">
        <v>52</v>
      </c>
      <c r="C44" s="2" t="s">
        <v>99</v>
      </c>
      <c r="D44" s="1" t="s">
        <v>100</v>
      </c>
      <c r="E44" s="1" t="s">
        <v>37</v>
      </c>
      <c r="F44" s="21" t="s">
        <v>332</v>
      </c>
      <c r="G44" s="22" t="s">
        <v>333</v>
      </c>
    </row>
    <row r="45" spans="1:7" x14ac:dyDescent="0.2">
      <c r="A45" s="1">
        <f t="shared" si="0"/>
        <v>44</v>
      </c>
      <c r="B45" s="1" t="s">
        <v>52</v>
      </c>
      <c r="C45" s="2" t="s">
        <v>101</v>
      </c>
      <c r="D45" s="1" t="s">
        <v>102</v>
      </c>
      <c r="E45" s="1" t="s">
        <v>37</v>
      </c>
      <c r="F45" s="21" t="s">
        <v>332</v>
      </c>
      <c r="G45" s="22" t="s">
        <v>333</v>
      </c>
    </row>
    <row r="46" spans="1:7" x14ac:dyDescent="0.2">
      <c r="A46" s="1">
        <f t="shared" si="0"/>
        <v>45</v>
      </c>
      <c r="B46" s="1" t="s">
        <v>52</v>
      </c>
      <c r="C46" s="3" t="s">
        <v>103</v>
      </c>
      <c r="D46" s="1" t="s">
        <v>104</v>
      </c>
      <c r="E46" s="1" t="s">
        <v>105</v>
      </c>
      <c r="F46" s="21" t="s">
        <v>332</v>
      </c>
      <c r="G46" s="21" t="s">
        <v>332</v>
      </c>
    </row>
    <row r="47" spans="1:7" x14ac:dyDescent="0.2">
      <c r="A47" s="1">
        <f t="shared" si="0"/>
        <v>46</v>
      </c>
      <c r="B47" s="1" t="s">
        <v>52</v>
      </c>
      <c r="C47" s="3" t="s">
        <v>106</v>
      </c>
      <c r="D47" s="1" t="s">
        <v>104</v>
      </c>
      <c r="E47" s="1" t="s">
        <v>105</v>
      </c>
      <c r="F47" s="21" t="s">
        <v>332</v>
      </c>
      <c r="G47" s="22" t="s">
        <v>333</v>
      </c>
    </row>
    <row r="48" spans="1:7" x14ac:dyDescent="0.2">
      <c r="A48" s="1">
        <f t="shared" si="0"/>
        <v>47</v>
      </c>
      <c r="B48" s="1" t="s">
        <v>52</v>
      </c>
      <c r="C48" s="3" t="s">
        <v>107</v>
      </c>
      <c r="D48" s="1" t="s">
        <v>104</v>
      </c>
      <c r="E48" s="1" t="s">
        <v>105</v>
      </c>
      <c r="F48" s="21" t="s">
        <v>332</v>
      </c>
      <c r="G48" s="22" t="s">
        <v>333</v>
      </c>
    </row>
    <row r="49" spans="1:7" x14ac:dyDescent="0.2">
      <c r="A49" s="1">
        <f t="shared" si="0"/>
        <v>48</v>
      </c>
      <c r="B49" s="1" t="s">
        <v>52</v>
      </c>
      <c r="C49" s="3" t="s">
        <v>108</v>
      </c>
      <c r="D49" s="1" t="s">
        <v>104</v>
      </c>
      <c r="E49" s="1" t="s">
        <v>105</v>
      </c>
      <c r="F49" s="21" t="s">
        <v>332</v>
      </c>
      <c r="G49" s="22" t="s">
        <v>333</v>
      </c>
    </row>
    <row r="50" spans="1:7" x14ac:dyDescent="0.2">
      <c r="A50" s="1">
        <f t="shared" si="0"/>
        <v>49</v>
      </c>
      <c r="B50" s="1" t="s">
        <v>52</v>
      </c>
      <c r="C50" s="3" t="s">
        <v>109</v>
      </c>
      <c r="D50" s="1" t="s">
        <v>104</v>
      </c>
      <c r="E50" s="1" t="s">
        <v>105</v>
      </c>
      <c r="F50" s="21" t="s">
        <v>332</v>
      </c>
      <c r="G50" s="22" t="s">
        <v>333</v>
      </c>
    </row>
    <row r="51" spans="1:7" ht="30" x14ac:dyDescent="0.2">
      <c r="A51" s="1">
        <f t="shared" si="0"/>
        <v>50</v>
      </c>
      <c r="B51" s="1" t="s">
        <v>52</v>
      </c>
      <c r="C51" s="1" t="s">
        <v>110</v>
      </c>
      <c r="D51" s="1" t="s">
        <v>111</v>
      </c>
      <c r="E51" s="1" t="s">
        <v>37</v>
      </c>
      <c r="F51" s="21" t="s">
        <v>332</v>
      </c>
      <c r="G51" s="22" t="s">
        <v>333</v>
      </c>
    </row>
    <row r="52" spans="1:7" x14ac:dyDescent="0.2">
      <c r="A52" s="1">
        <f t="shared" si="0"/>
        <v>51</v>
      </c>
      <c r="B52" s="1" t="s">
        <v>52</v>
      </c>
      <c r="C52" s="1" t="s">
        <v>112</v>
      </c>
      <c r="D52" s="1" t="s">
        <v>113</v>
      </c>
      <c r="E52" s="1" t="s">
        <v>37</v>
      </c>
      <c r="F52" s="21" t="s">
        <v>332</v>
      </c>
      <c r="G52" s="22" t="s">
        <v>333</v>
      </c>
    </row>
    <row r="53" spans="1:7" ht="45" x14ac:dyDescent="0.2">
      <c r="A53" s="1">
        <f t="shared" si="0"/>
        <v>52</v>
      </c>
      <c r="B53" s="1" t="s">
        <v>52</v>
      </c>
      <c r="C53" s="1" t="s">
        <v>114</v>
      </c>
      <c r="D53" s="1" t="s">
        <v>115</v>
      </c>
      <c r="E53" s="1" t="s">
        <v>37</v>
      </c>
      <c r="F53" s="21" t="s">
        <v>332</v>
      </c>
      <c r="G53" s="22" t="s">
        <v>333</v>
      </c>
    </row>
    <row r="54" spans="1:7" x14ac:dyDescent="0.2">
      <c r="A54" s="1">
        <f t="shared" si="0"/>
        <v>53</v>
      </c>
      <c r="B54" s="1" t="s">
        <v>52</v>
      </c>
      <c r="C54" s="1" t="s">
        <v>116</v>
      </c>
      <c r="D54" s="1" t="s">
        <v>117</v>
      </c>
      <c r="E54" s="1" t="s">
        <v>37</v>
      </c>
      <c r="F54" s="21" t="s">
        <v>332</v>
      </c>
      <c r="G54" s="22" t="s">
        <v>333</v>
      </c>
    </row>
    <row r="55" spans="1:7" x14ac:dyDescent="0.2">
      <c r="A55" s="1">
        <f t="shared" si="0"/>
        <v>54</v>
      </c>
      <c r="B55" s="1" t="s">
        <v>52</v>
      </c>
      <c r="C55" s="2" t="s">
        <v>118</v>
      </c>
      <c r="D55" s="1" t="s">
        <v>119</v>
      </c>
      <c r="E55" s="1" t="s">
        <v>37</v>
      </c>
      <c r="F55" s="21" t="s">
        <v>332</v>
      </c>
      <c r="G55" s="22" t="s">
        <v>333</v>
      </c>
    </row>
    <row r="56" spans="1:7" x14ac:dyDescent="0.2">
      <c r="A56" s="1">
        <f t="shared" si="0"/>
        <v>55</v>
      </c>
      <c r="B56" s="1" t="s">
        <v>52</v>
      </c>
      <c r="C56" s="3" t="s">
        <v>120</v>
      </c>
      <c r="D56" s="1" t="s">
        <v>104</v>
      </c>
      <c r="E56" s="1" t="s">
        <v>105</v>
      </c>
      <c r="F56" s="21" t="s">
        <v>332</v>
      </c>
      <c r="G56" s="22" t="s">
        <v>333</v>
      </c>
    </row>
    <row r="57" spans="1:7" ht="45" x14ac:dyDescent="0.2">
      <c r="A57" s="1">
        <f t="shared" si="0"/>
        <v>56</v>
      </c>
      <c r="B57" s="1" t="s">
        <v>52</v>
      </c>
      <c r="C57" s="1" t="s">
        <v>121</v>
      </c>
      <c r="D57" s="1" t="s">
        <v>122</v>
      </c>
      <c r="E57" s="1" t="s">
        <v>37</v>
      </c>
      <c r="F57" s="21" t="s">
        <v>332</v>
      </c>
      <c r="G57" s="22" t="s">
        <v>333</v>
      </c>
    </row>
    <row r="58" spans="1:7" ht="45" x14ac:dyDescent="0.2">
      <c r="A58" s="1">
        <f t="shared" si="0"/>
        <v>57</v>
      </c>
      <c r="B58" s="1" t="s">
        <v>52</v>
      </c>
      <c r="C58" s="1" t="s">
        <v>123</v>
      </c>
      <c r="D58" s="1" t="s">
        <v>124</v>
      </c>
      <c r="E58" s="1" t="s">
        <v>37</v>
      </c>
      <c r="F58" s="21" t="s">
        <v>332</v>
      </c>
      <c r="G58" s="22" t="s">
        <v>333</v>
      </c>
    </row>
    <row r="59" spans="1:7" ht="30" x14ac:dyDescent="0.2">
      <c r="A59" s="1">
        <f t="shared" si="0"/>
        <v>58</v>
      </c>
      <c r="B59" s="1" t="s">
        <v>52</v>
      </c>
      <c r="C59" s="1" t="s">
        <v>125</v>
      </c>
      <c r="D59" s="1" t="s">
        <v>126</v>
      </c>
      <c r="E59" s="1" t="s">
        <v>37</v>
      </c>
      <c r="F59" s="21" t="s">
        <v>332</v>
      </c>
      <c r="G59" s="22" t="s">
        <v>333</v>
      </c>
    </row>
    <row r="60" spans="1:7" x14ac:dyDescent="0.2">
      <c r="A60" s="1">
        <f t="shared" si="0"/>
        <v>59</v>
      </c>
      <c r="B60" s="1" t="s">
        <v>52</v>
      </c>
      <c r="C60" s="1" t="s">
        <v>127</v>
      </c>
      <c r="D60" s="1" t="s">
        <v>128</v>
      </c>
      <c r="E60" s="1" t="s">
        <v>37</v>
      </c>
      <c r="F60" s="21" t="s">
        <v>332</v>
      </c>
      <c r="G60" s="22" t="s">
        <v>333</v>
      </c>
    </row>
    <row r="61" spans="1:7" x14ac:dyDescent="0.2">
      <c r="A61" s="1">
        <f t="shared" si="0"/>
        <v>60</v>
      </c>
      <c r="B61" s="1" t="s">
        <v>52</v>
      </c>
      <c r="C61" s="1" t="s">
        <v>129</v>
      </c>
      <c r="D61" s="1" t="s">
        <v>130</v>
      </c>
      <c r="E61" s="1" t="s">
        <v>37</v>
      </c>
      <c r="F61" s="21" t="s">
        <v>332</v>
      </c>
      <c r="G61" s="22" t="s">
        <v>333</v>
      </c>
    </row>
    <row r="62" spans="1:7" x14ac:dyDescent="0.2">
      <c r="A62" s="1">
        <f t="shared" si="0"/>
        <v>61</v>
      </c>
      <c r="B62" s="1" t="s">
        <v>52</v>
      </c>
      <c r="C62" s="3" t="s">
        <v>131</v>
      </c>
      <c r="D62" s="1" t="s">
        <v>104</v>
      </c>
      <c r="E62" s="1" t="s">
        <v>105</v>
      </c>
      <c r="F62" s="21" t="s">
        <v>332</v>
      </c>
      <c r="G62" s="22" t="s">
        <v>333</v>
      </c>
    </row>
    <row r="63" spans="1:7" ht="45" x14ac:dyDescent="0.2">
      <c r="A63" s="1">
        <f t="shared" si="0"/>
        <v>62</v>
      </c>
      <c r="B63" s="1" t="s">
        <v>52</v>
      </c>
      <c r="C63" s="1" t="s">
        <v>132</v>
      </c>
      <c r="D63" s="1" t="s">
        <v>133</v>
      </c>
      <c r="E63" s="1" t="s">
        <v>37</v>
      </c>
      <c r="F63" s="21" t="s">
        <v>332</v>
      </c>
      <c r="G63" s="22" t="s">
        <v>333</v>
      </c>
    </row>
    <row r="64" spans="1:7" ht="45" x14ac:dyDescent="0.2">
      <c r="A64" s="1">
        <f t="shared" si="0"/>
        <v>63</v>
      </c>
      <c r="B64" s="1" t="s">
        <v>52</v>
      </c>
      <c r="C64" s="1" t="s">
        <v>134</v>
      </c>
      <c r="D64" s="1" t="s">
        <v>135</v>
      </c>
      <c r="E64" s="1" t="s">
        <v>37</v>
      </c>
      <c r="F64" s="21" t="s">
        <v>332</v>
      </c>
      <c r="G64" s="22" t="s">
        <v>333</v>
      </c>
    </row>
    <row r="65" spans="1:7" x14ac:dyDescent="0.2">
      <c r="A65" s="1">
        <f t="shared" si="0"/>
        <v>64</v>
      </c>
      <c r="B65" s="1" t="s">
        <v>52</v>
      </c>
      <c r="C65" s="6" t="s">
        <v>136</v>
      </c>
      <c r="D65" s="1" t="s">
        <v>104</v>
      </c>
      <c r="E65" s="1" t="s">
        <v>105</v>
      </c>
      <c r="F65" s="21" t="s">
        <v>332</v>
      </c>
      <c r="G65" s="22" t="s">
        <v>333</v>
      </c>
    </row>
    <row r="66" spans="1:7" x14ac:dyDescent="0.2">
      <c r="A66" s="1">
        <f t="shared" si="0"/>
        <v>65</v>
      </c>
      <c r="B66" s="1" t="s">
        <v>52</v>
      </c>
      <c r="C66" s="6" t="s">
        <v>137</v>
      </c>
      <c r="D66" s="1" t="s">
        <v>104</v>
      </c>
      <c r="E66" s="1" t="s">
        <v>105</v>
      </c>
      <c r="F66" s="21" t="s">
        <v>332</v>
      </c>
      <c r="G66" s="21" t="s">
        <v>332</v>
      </c>
    </row>
    <row r="67" spans="1:7" ht="30" x14ac:dyDescent="0.2">
      <c r="A67" s="1">
        <f t="shared" si="0"/>
        <v>66</v>
      </c>
      <c r="B67" s="1" t="s">
        <v>52</v>
      </c>
      <c r="C67" s="2" t="s">
        <v>138</v>
      </c>
      <c r="D67" s="1" t="s">
        <v>139</v>
      </c>
      <c r="E67" s="1" t="s">
        <v>37</v>
      </c>
      <c r="F67" s="21" t="s">
        <v>332</v>
      </c>
      <c r="G67" s="21" t="s">
        <v>332</v>
      </c>
    </row>
    <row r="68" spans="1:7" x14ac:dyDescent="0.2">
      <c r="A68" s="1">
        <f t="shared" ref="A68:A131" si="1">A67+1</f>
        <v>67</v>
      </c>
      <c r="B68" s="1" t="s">
        <v>52</v>
      </c>
      <c r="C68" s="3" t="s">
        <v>140</v>
      </c>
      <c r="D68" s="1" t="s">
        <v>104</v>
      </c>
      <c r="E68" s="1" t="s">
        <v>105</v>
      </c>
      <c r="F68" s="21" t="s">
        <v>332</v>
      </c>
      <c r="G68" s="1" t="s">
        <v>333</v>
      </c>
    </row>
    <row r="69" spans="1:7" x14ac:dyDescent="0.2">
      <c r="A69" s="1">
        <f t="shared" si="1"/>
        <v>68</v>
      </c>
      <c r="B69" s="1" t="s">
        <v>52</v>
      </c>
      <c r="C69" s="1" t="s">
        <v>141</v>
      </c>
      <c r="D69" s="1" t="s">
        <v>142</v>
      </c>
      <c r="E69" s="1" t="s">
        <v>105</v>
      </c>
      <c r="F69" s="21" t="s">
        <v>332</v>
      </c>
      <c r="G69" s="1" t="s">
        <v>333</v>
      </c>
    </row>
    <row r="70" spans="1:7" ht="45" x14ac:dyDescent="0.2">
      <c r="A70" s="1">
        <f t="shared" si="1"/>
        <v>69</v>
      </c>
      <c r="B70" s="1" t="s">
        <v>52</v>
      </c>
      <c r="C70" s="3" t="s">
        <v>143</v>
      </c>
      <c r="D70" s="1" t="s">
        <v>144</v>
      </c>
      <c r="E70" s="1" t="s">
        <v>105</v>
      </c>
      <c r="F70" s="21" t="s">
        <v>332</v>
      </c>
      <c r="G70" s="1" t="s">
        <v>333</v>
      </c>
    </row>
    <row r="71" spans="1:7" x14ac:dyDescent="0.2">
      <c r="A71" s="1">
        <f t="shared" si="1"/>
        <v>70</v>
      </c>
      <c r="B71" s="1" t="s">
        <v>52</v>
      </c>
      <c r="C71" s="1" t="s">
        <v>145</v>
      </c>
      <c r="D71" s="1" t="s">
        <v>146</v>
      </c>
      <c r="E71" s="1" t="s">
        <v>147</v>
      </c>
      <c r="F71" s="21" t="s">
        <v>332</v>
      </c>
      <c r="G71" s="1" t="s">
        <v>333</v>
      </c>
    </row>
    <row r="72" spans="1:7" ht="30" x14ac:dyDescent="0.2">
      <c r="A72" s="1">
        <f t="shared" si="1"/>
        <v>71</v>
      </c>
      <c r="B72" s="1" t="s">
        <v>52</v>
      </c>
      <c r="C72" s="1" t="s">
        <v>148</v>
      </c>
      <c r="D72" s="1" t="s">
        <v>149</v>
      </c>
      <c r="E72" s="1" t="s">
        <v>88</v>
      </c>
      <c r="F72" s="21" t="s">
        <v>332</v>
      </c>
      <c r="G72" s="1" t="s">
        <v>333</v>
      </c>
    </row>
    <row r="73" spans="1:7" ht="30" x14ac:dyDescent="0.2">
      <c r="A73" s="1">
        <f t="shared" si="1"/>
        <v>72</v>
      </c>
      <c r="B73" s="1" t="s">
        <v>52</v>
      </c>
      <c r="C73" s="1" t="s">
        <v>150</v>
      </c>
      <c r="D73" s="1" t="s">
        <v>151</v>
      </c>
      <c r="E73" s="1" t="s">
        <v>37</v>
      </c>
      <c r="F73" s="21" t="s">
        <v>332</v>
      </c>
      <c r="G73" s="1" t="s">
        <v>333</v>
      </c>
    </row>
    <row r="74" spans="1:7" x14ac:dyDescent="0.2">
      <c r="A74" s="1">
        <f t="shared" si="1"/>
        <v>73</v>
      </c>
      <c r="B74" s="1" t="s">
        <v>52</v>
      </c>
      <c r="C74" s="2" t="s">
        <v>152</v>
      </c>
      <c r="D74" s="1" t="s">
        <v>153</v>
      </c>
      <c r="E74" s="1" t="s">
        <v>37</v>
      </c>
      <c r="F74" s="21" t="s">
        <v>332</v>
      </c>
      <c r="G74" s="1" t="s">
        <v>333</v>
      </c>
    </row>
    <row r="75" spans="1:7" ht="30" x14ac:dyDescent="0.2">
      <c r="A75" s="1">
        <f t="shared" si="1"/>
        <v>74</v>
      </c>
      <c r="B75" s="1" t="s">
        <v>52</v>
      </c>
      <c r="C75" s="6" t="s">
        <v>154</v>
      </c>
      <c r="D75" s="1" t="s">
        <v>104</v>
      </c>
      <c r="E75" s="1" t="s">
        <v>105</v>
      </c>
      <c r="F75" s="21" t="s">
        <v>332</v>
      </c>
      <c r="G75" s="1" t="s">
        <v>333</v>
      </c>
    </row>
    <row r="76" spans="1:7" x14ac:dyDescent="0.2">
      <c r="A76" s="1">
        <f t="shared" si="1"/>
        <v>75</v>
      </c>
      <c r="B76" s="1" t="s">
        <v>52</v>
      </c>
      <c r="C76" s="6" t="s">
        <v>155</v>
      </c>
      <c r="D76" s="1" t="s">
        <v>104</v>
      </c>
      <c r="E76" s="1" t="s">
        <v>105</v>
      </c>
      <c r="F76" s="21" t="s">
        <v>332</v>
      </c>
      <c r="G76" s="1" t="s">
        <v>333</v>
      </c>
    </row>
    <row r="77" spans="1:7" x14ac:dyDescent="0.2">
      <c r="A77" s="1">
        <f t="shared" si="1"/>
        <v>76</v>
      </c>
      <c r="B77" s="1" t="s">
        <v>52</v>
      </c>
      <c r="C77" s="2" t="s">
        <v>156</v>
      </c>
      <c r="D77" s="1" t="s">
        <v>157</v>
      </c>
      <c r="E77" s="1" t="s">
        <v>37</v>
      </c>
      <c r="F77" s="21" t="s">
        <v>332</v>
      </c>
      <c r="G77" s="1" t="s">
        <v>333</v>
      </c>
    </row>
    <row r="78" spans="1:7" ht="30" x14ac:dyDescent="0.2">
      <c r="A78" s="1">
        <f t="shared" si="1"/>
        <v>77</v>
      </c>
      <c r="B78" s="1" t="s">
        <v>52</v>
      </c>
      <c r="C78" s="2" t="s">
        <v>158</v>
      </c>
      <c r="D78" s="1" t="s">
        <v>159</v>
      </c>
      <c r="E78" s="1" t="s">
        <v>37</v>
      </c>
      <c r="F78" s="21" t="s">
        <v>332</v>
      </c>
      <c r="G78" s="1" t="s">
        <v>333</v>
      </c>
    </row>
    <row r="79" spans="1:7" x14ac:dyDescent="0.2">
      <c r="A79" s="1">
        <f t="shared" si="1"/>
        <v>78</v>
      </c>
      <c r="B79" s="1" t="s">
        <v>52</v>
      </c>
      <c r="C79" s="3" t="s">
        <v>160</v>
      </c>
      <c r="D79" s="1" t="s">
        <v>104</v>
      </c>
      <c r="E79" s="1" t="s">
        <v>105</v>
      </c>
      <c r="F79" s="21" t="s">
        <v>332</v>
      </c>
      <c r="G79" s="1" t="s">
        <v>333</v>
      </c>
    </row>
    <row r="80" spans="1:7" x14ac:dyDescent="0.2">
      <c r="A80" s="1">
        <f t="shared" si="1"/>
        <v>79</v>
      </c>
      <c r="B80" s="1" t="s">
        <v>52</v>
      </c>
      <c r="C80" s="3" t="s">
        <v>161</v>
      </c>
      <c r="D80" s="1" t="s">
        <v>162</v>
      </c>
      <c r="E80" s="1" t="s">
        <v>163</v>
      </c>
      <c r="F80" s="21" t="s">
        <v>332</v>
      </c>
      <c r="G80" s="1" t="s">
        <v>333</v>
      </c>
    </row>
    <row r="81" spans="1:7" x14ac:dyDescent="0.2">
      <c r="A81" s="1">
        <f t="shared" si="1"/>
        <v>80</v>
      </c>
      <c r="B81" s="1" t="s">
        <v>52</v>
      </c>
      <c r="C81" s="3" t="s">
        <v>164</v>
      </c>
      <c r="D81" s="1" t="s">
        <v>104</v>
      </c>
      <c r="E81" s="1" t="s">
        <v>105</v>
      </c>
      <c r="F81" s="21" t="s">
        <v>332</v>
      </c>
      <c r="G81" s="1" t="s">
        <v>333</v>
      </c>
    </row>
    <row r="82" spans="1:7" x14ac:dyDescent="0.2">
      <c r="A82" s="1">
        <f t="shared" si="1"/>
        <v>81</v>
      </c>
      <c r="B82" s="1" t="s">
        <v>52</v>
      </c>
      <c r="C82" s="3" t="s">
        <v>165</v>
      </c>
      <c r="D82" s="1" t="s">
        <v>104</v>
      </c>
      <c r="E82" s="1" t="s">
        <v>105</v>
      </c>
      <c r="F82" s="21" t="s">
        <v>332</v>
      </c>
      <c r="G82" s="1" t="s">
        <v>333</v>
      </c>
    </row>
    <row r="83" spans="1:7" x14ac:dyDescent="0.2">
      <c r="A83" s="1">
        <f t="shared" si="1"/>
        <v>82</v>
      </c>
      <c r="B83" s="1" t="s">
        <v>52</v>
      </c>
      <c r="C83" s="3" t="s">
        <v>166</v>
      </c>
      <c r="D83" s="1" t="s">
        <v>104</v>
      </c>
      <c r="E83" s="1" t="s">
        <v>105</v>
      </c>
      <c r="F83" s="21" t="s">
        <v>332</v>
      </c>
      <c r="G83" s="1" t="s">
        <v>333</v>
      </c>
    </row>
    <row r="84" spans="1:7" x14ac:dyDescent="0.2">
      <c r="A84" s="1">
        <f t="shared" si="1"/>
        <v>83</v>
      </c>
      <c r="B84" s="1" t="s">
        <v>52</v>
      </c>
      <c r="C84" s="4" t="s">
        <v>167</v>
      </c>
      <c r="D84" s="1" t="s">
        <v>168</v>
      </c>
      <c r="E84" s="1" t="s">
        <v>37</v>
      </c>
      <c r="F84" s="21" t="s">
        <v>332</v>
      </c>
      <c r="G84" s="1" t="s">
        <v>333</v>
      </c>
    </row>
    <row r="85" spans="1:7" x14ac:dyDescent="0.2">
      <c r="A85" s="1">
        <f t="shared" si="1"/>
        <v>84</v>
      </c>
      <c r="B85" s="1" t="s">
        <v>52</v>
      </c>
      <c r="C85" s="4" t="s">
        <v>169</v>
      </c>
      <c r="D85" s="1" t="s">
        <v>168</v>
      </c>
      <c r="E85" s="1" t="s">
        <v>37</v>
      </c>
      <c r="F85" s="21" t="s">
        <v>332</v>
      </c>
      <c r="G85" s="1" t="s">
        <v>333</v>
      </c>
    </row>
    <row r="86" spans="1:7" x14ac:dyDescent="0.2">
      <c r="A86" s="1">
        <f t="shared" si="1"/>
        <v>85</v>
      </c>
      <c r="B86" s="1" t="s">
        <v>52</v>
      </c>
      <c r="C86" s="4" t="s">
        <v>170</v>
      </c>
      <c r="D86" s="1" t="s">
        <v>168</v>
      </c>
      <c r="E86" s="1" t="s">
        <v>37</v>
      </c>
      <c r="F86" s="21" t="s">
        <v>332</v>
      </c>
      <c r="G86" s="1" t="s">
        <v>333</v>
      </c>
    </row>
    <row r="87" spans="1:7" x14ac:dyDescent="0.2">
      <c r="A87" s="1">
        <f t="shared" si="1"/>
        <v>86</v>
      </c>
      <c r="B87" s="1" t="s">
        <v>52</v>
      </c>
      <c r="C87" s="1" t="s">
        <v>171</v>
      </c>
      <c r="D87" s="1" t="s">
        <v>104</v>
      </c>
      <c r="E87" s="1" t="s">
        <v>105</v>
      </c>
      <c r="F87" s="21" t="s">
        <v>332</v>
      </c>
      <c r="G87" s="1" t="s">
        <v>333</v>
      </c>
    </row>
    <row r="88" spans="1:7" x14ac:dyDescent="0.2">
      <c r="A88" s="1">
        <f t="shared" si="1"/>
        <v>87</v>
      </c>
      <c r="B88" s="1" t="s">
        <v>52</v>
      </c>
      <c r="C88" s="1" t="s">
        <v>172</v>
      </c>
      <c r="D88" s="1" t="s">
        <v>104</v>
      </c>
      <c r="E88" s="1" t="s">
        <v>105</v>
      </c>
      <c r="F88" s="21" t="s">
        <v>332</v>
      </c>
      <c r="G88" s="1" t="s">
        <v>333</v>
      </c>
    </row>
    <row r="89" spans="1:7" x14ac:dyDescent="0.2">
      <c r="A89" s="1">
        <f t="shared" si="1"/>
        <v>88</v>
      </c>
      <c r="B89" s="1" t="s">
        <v>52</v>
      </c>
      <c r="C89" s="1" t="s">
        <v>173</v>
      </c>
      <c r="D89" s="1" t="s">
        <v>104</v>
      </c>
      <c r="E89" s="1" t="s">
        <v>105</v>
      </c>
      <c r="F89" s="21" t="s">
        <v>332</v>
      </c>
      <c r="G89" s="1" t="s">
        <v>333</v>
      </c>
    </row>
    <row r="90" spans="1:7" ht="30" x14ac:dyDescent="0.2">
      <c r="A90" s="1">
        <f t="shared" si="1"/>
        <v>89</v>
      </c>
      <c r="B90" s="1" t="s">
        <v>52</v>
      </c>
      <c r="C90" s="1" t="s">
        <v>174</v>
      </c>
      <c r="D90" s="1" t="s">
        <v>175</v>
      </c>
      <c r="E90" s="1" t="s">
        <v>37</v>
      </c>
      <c r="F90" s="21" t="s">
        <v>332</v>
      </c>
      <c r="G90" s="1" t="s">
        <v>333</v>
      </c>
    </row>
    <row r="91" spans="1:7" ht="30" x14ac:dyDescent="0.2">
      <c r="A91" s="1">
        <f t="shared" si="1"/>
        <v>90</v>
      </c>
      <c r="B91" s="1" t="s">
        <v>52</v>
      </c>
      <c r="C91" s="1" t="s">
        <v>176</v>
      </c>
      <c r="D91" s="1" t="s">
        <v>177</v>
      </c>
      <c r="E91" s="1" t="s">
        <v>105</v>
      </c>
      <c r="F91" s="21" t="s">
        <v>332</v>
      </c>
      <c r="G91" s="1" t="s">
        <v>333</v>
      </c>
    </row>
    <row r="92" spans="1:7" x14ac:dyDescent="0.2">
      <c r="A92" s="1">
        <f t="shared" si="1"/>
        <v>91</v>
      </c>
      <c r="B92" s="1" t="s">
        <v>52</v>
      </c>
      <c r="C92" s="1" t="s">
        <v>178</v>
      </c>
      <c r="D92" s="1" t="s">
        <v>142</v>
      </c>
      <c r="E92" s="1" t="s">
        <v>105</v>
      </c>
      <c r="F92" s="21" t="s">
        <v>332</v>
      </c>
      <c r="G92" s="1" t="s">
        <v>333</v>
      </c>
    </row>
    <row r="93" spans="1:7" x14ac:dyDescent="0.2">
      <c r="A93" s="1">
        <f t="shared" si="1"/>
        <v>92</v>
      </c>
      <c r="B93" s="1" t="s">
        <v>52</v>
      </c>
      <c r="C93" s="1" t="s">
        <v>179</v>
      </c>
      <c r="D93" s="1" t="s">
        <v>104</v>
      </c>
      <c r="E93" s="1" t="s">
        <v>105</v>
      </c>
      <c r="F93" s="21" t="s">
        <v>332</v>
      </c>
      <c r="G93" s="1" t="s">
        <v>333</v>
      </c>
    </row>
    <row r="94" spans="1:7" x14ac:dyDescent="0.2">
      <c r="A94" s="1">
        <f t="shared" si="1"/>
        <v>93</v>
      </c>
      <c r="B94" s="1" t="s">
        <v>52</v>
      </c>
      <c r="C94" s="1" t="s">
        <v>180</v>
      </c>
      <c r="D94" s="1" t="s">
        <v>104</v>
      </c>
      <c r="E94" s="1" t="s">
        <v>105</v>
      </c>
      <c r="F94" s="21" t="s">
        <v>332</v>
      </c>
      <c r="G94" s="1" t="s">
        <v>333</v>
      </c>
    </row>
    <row r="95" spans="1:7" ht="75" x14ac:dyDescent="0.2">
      <c r="A95" s="1">
        <f t="shared" si="1"/>
        <v>94</v>
      </c>
      <c r="B95" s="1" t="s">
        <v>52</v>
      </c>
      <c r="C95" s="1" t="s">
        <v>181</v>
      </c>
      <c r="D95" s="1" t="s">
        <v>182</v>
      </c>
      <c r="E95" s="1" t="s">
        <v>37</v>
      </c>
      <c r="F95" s="21" t="s">
        <v>332</v>
      </c>
      <c r="G95" s="1" t="s">
        <v>333</v>
      </c>
    </row>
    <row r="96" spans="1:7" ht="30" x14ac:dyDescent="0.2">
      <c r="A96" s="1">
        <f t="shared" si="1"/>
        <v>95</v>
      </c>
      <c r="B96" s="1" t="s">
        <v>52</v>
      </c>
      <c r="C96" s="1" t="s">
        <v>183</v>
      </c>
      <c r="D96" s="1" t="s">
        <v>184</v>
      </c>
      <c r="E96" s="1" t="s">
        <v>37</v>
      </c>
      <c r="F96" s="21" t="s">
        <v>332</v>
      </c>
      <c r="G96" s="1" t="s">
        <v>333</v>
      </c>
    </row>
    <row r="97" spans="1:7" ht="45" x14ac:dyDescent="0.2">
      <c r="A97" s="1">
        <f t="shared" si="1"/>
        <v>96</v>
      </c>
      <c r="B97" s="1" t="s">
        <v>52</v>
      </c>
      <c r="C97" s="1" t="s">
        <v>185</v>
      </c>
      <c r="D97" s="1" t="s">
        <v>186</v>
      </c>
      <c r="E97" s="1" t="s">
        <v>37</v>
      </c>
      <c r="F97" s="21" t="s">
        <v>332</v>
      </c>
      <c r="G97" s="1" t="s">
        <v>333</v>
      </c>
    </row>
    <row r="98" spans="1:7" x14ac:dyDescent="0.2">
      <c r="A98" s="1">
        <f t="shared" si="1"/>
        <v>97</v>
      </c>
      <c r="B98" s="1" t="s">
        <v>52</v>
      </c>
      <c r="C98" s="1" t="s">
        <v>187</v>
      </c>
      <c r="D98" s="1" t="s">
        <v>188</v>
      </c>
      <c r="E98" s="1" t="s">
        <v>105</v>
      </c>
      <c r="F98" s="21" t="s">
        <v>332</v>
      </c>
      <c r="G98" s="1" t="s">
        <v>333</v>
      </c>
    </row>
    <row r="99" spans="1:7" ht="30" x14ac:dyDescent="0.2">
      <c r="A99" s="1">
        <f t="shared" si="1"/>
        <v>98</v>
      </c>
      <c r="B99" s="1" t="s">
        <v>52</v>
      </c>
      <c r="C99" s="1" t="s">
        <v>189</v>
      </c>
      <c r="D99" s="1" t="s">
        <v>190</v>
      </c>
      <c r="E99" s="1" t="s">
        <v>37</v>
      </c>
      <c r="F99" s="21" t="s">
        <v>332</v>
      </c>
      <c r="G99" s="1" t="s">
        <v>333</v>
      </c>
    </row>
    <row r="100" spans="1:7" ht="30" x14ac:dyDescent="0.2">
      <c r="A100" s="1">
        <f t="shared" si="1"/>
        <v>99</v>
      </c>
      <c r="B100" s="1" t="s">
        <v>52</v>
      </c>
      <c r="C100" s="1" t="s">
        <v>191</v>
      </c>
      <c r="D100" s="1" t="s">
        <v>192</v>
      </c>
      <c r="E100" s="1" t="s">
        <v>37</v>
      </c>
      <c r="F100" s="21" t="s">
        <v>332</v>
      </c>
      <c r="G100" s="1" t="s">
        <v>333</v>
      </c>
    </row>
    <row r="101" spans="1:7" x14ac:dyDescent="0.2">
      <c r="A101" s="1">
        <f t="shared" si="1"/>
        <v>100</v>
      </c>
      <c r="B101" s="1" t="s">
        <v>52</v>
      </c>
      <c r="C101" s="1" t="s">
        <v>193</v>
      </c>
      <c r="D101" s="1" t="s">
        <v>194</v>
      </c>
      <c r="E101" s="1" t="s">
        <v>105</v>
      </c>
      <c r="F101" s="21" t="s">
        <v>332</v>
      </c>
      <c r="G101" s="1" t="s">
        <v>333</v>
      </c>
    </row>
    <row r="102" spans="1:7" ht="30" x14ac:dyDescent="0.2">
      <c r="A102" s="1">
        <f t="shared" si="1"/>
        <v>101</v>
      </c>
      <c r="B102" s="1" t="s">
        <v>195</v>
      </c>
      <c r="C102" s="1" t="s">
        <v>196</v>
      </c>
      <c r="D102" s="1" t="s">
        <v>197</v>
      </c>
      <c r="E102" s="1" t="s">
        <v>37</v>
      </c>
      <c r="F102" s="21" t="s">
        <v>332</v>
      </c>
      <c r="G102" s="1" t="s">
        <v>333</v>
      </c>
    </row>
    <row r="103" spans="1:7" ht="45" x14ac:dyDescent="0.2">
      <c r="A103" s="1">
        <f t="shared" si="1"/>
        <v>102</v>
      </c>
      <c r="B103" s="1" t="s">
        <v>195</v>
      </c>
      <c r="C103" s="1" t="s">
        <v>198</v>
      </c>
      <c r="D103" s="1" t="s">
        <v>199</v>
      </c>
      <c r="E103" s="1" t="s">
        <v>37</v>
      </c>
      <c r="F103" s="21" t="s">
        <v>332</v>
      </c>
      <c r="G103" s="1" t="s">
        <v>333</v>
      </c>
    </row>
    <row r="104" spans="1:7" ht="30" x14ac:dyDescent="0.2">
      <c r="A104" s="1">
        <f t="shared" si="1"/>
        <v>103</v>
      </c>
      <c r="B104" s="1" t="s">
        <v>195</v>
      </c>
      <c r="C104" s="2" t="s">
        <v>200</v>
      </c>
      <c r="D104" s="1" t="s">
        <v>201</v>
      </c>
      <c r="E104" s="1" t="s">
        <v>37</v>
      </c>
      <c r="F104" s="21" t="s">
        <v>332</v>
      </c>
      <c r="G104" s="1" t="s">
        <v>333</v>
      </c>
    </row>
    <row r="105" spans="1:7" ht="30" x14ac:dyDescent="0.2">
      <c r="A105" s="1">
        <f t="shared" si="1"/>
        <v>104</v>
      </c>
      <c r="B105" s="1" t="s">
        <v>195</v>
      </c>
      <c r="C105" s="1" t="s">
        <v>202</v>
      </c>
      <c r="D105" s="1" t="s">
        <v>203</v>
      </c>
      <c r="E105" s="1" t="s">
        <v>37</v>
      </c>
      <c r="F105" s="21" t="s">
        <v>332</v>
      </c>
      <c r="G105" s="1" t="s">
        <v>333</v>
      </c>
    </row>
    <row r="106" spans="1:7" x14ac:dyDescent="0.2">
      <c r="A106" s="1">
        <f t="shared" si="1"/>
        <v>105</v>
      </c>
      <c r="B106" s="1" t="s">
        <v>195</v>
      </c>
      <c r="C106" s="1" t="s">
        <v>204</v>
      </c>
      <c r="D106" s="1" t="s">
        <v>205</v>
      </c>
      <c r="E106" s="1" t="s">
        <v>37</v>
      </c>
      <c r="F106" s="21" t="s">
        <v>332</v>
      </c>
      <c r="G106" s="1" t="s">
        <v>333</v>
      </c>
    </row>
    <row r="107" spans="1:7" x14ac:dyDescent="0.2">
      <c r="A107" s="1">
        <f t="shared" si="1"/>
        <v>106</v>
      </c>
      <c r="B107" s="1" t="s">
        <v>195</v>
      </c>
      <c r="C107" s="1" t="s">
        <v>206</v>
      </c>
      <c r="D107" s="1" t="s">
        <v>168</v>
      </c>
      <c r="E107" s="1" t="s">
        <v>37</v>
      </c>
      <c r="F107" s="21" t="s">
        <v>332</v>
      </c>
      <c r="G107" s="1" t="s">
        <v>333</v>
      </c>
    </row>
    <row r="108" spans="1:7" x14ac:dyDescent="0.2">
      <c r="A108" s="1">
        <f t="shared" si="1"/>
        <v>107</v>
      </c>
      <c r="B108" s="1" t="s">
        <v>195</v>
      </c>
      <c r="C108" s="1" t="s">
        <v>207</v>
      </c>
      <c r="D108" s="1" t="s">
        <v>168</v>
      </c>
      <c r="E108" s="1" t="s">
        <v>37</v>
      </c>
      <c r="F108" s="21" t="s">
        <v>332</v>
      </c>
      <c r="G108" s="1" t="s">
        <v>333</v>
      </c>
    </row>
    <row r="109" spans="1:7" ht="30" x14ac:dyDescent="0.2">
      <c r="A109" s="1">
        <f t="shared" si="1"/>
        <v>108</v>
      </c>
      <c r="B109" s="1" t="s">
        <v>195</v>
      </c>
      <c r="C109" s="1" t="s">
        <v>208</v>
      </c>
      <c r="D109" s="1" t="s">
        <v>209</v>
      </c>
      <c r="E109" s="1" t="s">
        <v>105</v>
      </c>
      <c r="F109" s="21" t="s">
        <v>332</v>
      </c>
      <c r="G109" s="1" t="s">
        <v>333</v>
      </c>
    </row>
    <row r="110" spans="1:7" ht="30" x14ac:dyDescent="0.2">
      <c r="A110" s="1">
        <f t="shared" si="1"/>
        <v>109</v>
      </c>
      <c r="B110" s="1" t="s">
        <v>195</v>
      </c>
      <c r="C110" s="1" t="s">
        <v>210</v>
      </c>
      <c r="D110" s="1" t="s">
        <v>211</v>
      </c>
      <c r="E110" s="1" t="s">
        <v>105</v>
      </c>
      <c r="F110" s="21" t="s">
        <v>332</v>
      </c>
      <c r="G110" s="1" t="s">
        <v>333</v>
      </c>
    </row>
    <row r="111" spans="1:7" x14ac:dyDescent="0.2">
      <c r="A111" s="1">
        <f t="shared" si="1"/>
        <v>110</v>
      </c>
      <c r="B111" s="1" t="s">
        <v>195</v>
      </c>
      <c r="C111" s="1" t="s">
        <v>212</v>
      </c>
      <c r="D111" s="1" t="s">
        <v>213</v>
      </c>
      <c r="E111" s="1" t="s">
        <v>105</v>
      </c>
      <c r="F111" s="21" t="s">
        <v>332</v>
      </c>
      <c r="G111" s="1" t="s">
        <v>333</v>
      </c>
    </row>
    <row r="112" spans="1:7" x14ac:dyDescent="0.2">
      <c r="A112" s="1">
        <f t="shared" si="1"/>
        <v>111</v>
      </c>
      <c r="B112" s="1" t="s">
        <v>195</v>
      </c>
      <c r="C112" s="2" t="s">
        <v>214</v>
      </c>
      <c r="D112" s="1" t="s">
        <v>168</v>
      </c>
      <c r="E112" s="1" t="s">
        <v>37</v>
      </c>
      <c r="F112" s="21" t="s">
        <v>332</v>
      </c>
      <c r="G112" s="1" t="s">
        <v>333</v>
      </c>
    </row>
    <row r="113" spans="1:7" x14ac:dyDescent="0.2">
      <c r="A113" s="1">
        <f t="shared" si="1"/>
        <v>112</v>
      </c>
      <c r="B113" s="1" t="s">
        <v>195</v>
      </c>
      <c r="C113" s="2" t="s">
        <v>215</v>
      </c>
      <c r="D113" s="1" t="s">
        <v>168</v>
      </c>
      <c r="E113" s="1" t="s">
        <v>37</v>
      </c>
      <c r="F113" s="21" t="s">
        <v>332</v>
      </c>
      <c r="G113" s="1" t="s">
        <v>333</v>
      </c>
    </row>
    <row r="114" spans="1:7" x14ac:dyDescent="0.2">
      <c r="A114" s="1">
        <f t="shared" si="1"/>
        <v>113</v>
      </c>
      <c r="B114" s="1" t="s">
        <v>195</v>
      </c>
      <c r="C114" s="2" t="s">
        <v>216</v>
      </c>
      <c r="D114" s="1" t="s">
        <v>168</v>
      </c>
      <c r="E114" s="1" t="s">
        <v>37</v>
      </c>
      <c r="F114" s="21" t="s">
        <v>332</v>
      </c>
      <c r="G114" s="1" t="s">
        <v>333</v>
      </c>
    </row>
    <row r="115" spans="1:7" ht="30" x14ac:dyDescent="0.2">
      <c r="A115" s="1">
        <f t="shared" si="1"/>
        <v>114</v>
      </c>
      <c r="B115" s="1" t="s">
        <v>195</v>
      </c>
      <c r="C115" s="1" t="s">
        <v>217</v>
      </c>
      <c r="D115" s="1" t="s">
        <v>218</v>
      </c>
      <c r="E115" s="1" t="s">
        <v>105</v>
      </c>
      <c r="F115" s="21" t="s">
        <v>332</v>
      </c>
      <c r="G115" s="1" t="s">
        <v>333</v>
      </c>
    </row>
    <row r="116" spans="1:7" x14ac:dyDescent="0.2">
      <c r="A116" s="1">
        <f t="shared" si="1"/>
        <v>115</v>
      </c>
      <c r="B116" s="1" t="s">
        <v>195</v>
      </c>
      <c r="C116" s="1" t="s">
        <v>219</v>
      </c>
      <c r="D116" s="1" t="s">
        <v>168</v>
      </c>
      <c r="E116" s="1" t="s">
        <v>37</v>
      </c>
      <c r="F116" s="21" t="s">
        <v>332</v>
      </c>
      <c r="G116" s="1" t="s">
        <v>333</v>
      </c>
    </row>
    <row r="117" spans="1:7" ht="30" x14ac:dyDescent="0.2">
      <c r="A117" s="1">
        <f t="shared" si="1"/>
        <v>116</v>
      </c>
      <c r="B117" s="1" t="s">
        <v>195</v>
      </c>
      <c r="C117" s="1" t="s">
        <v>220</v>
      </c>
      <c r="D117" s="1" t="s">
        <v>221</v>
      </c>
      <c r="E117" s="1" t="s">
        <v>222</v>
      </c>
      <c r="F117" s="21" t="s">
        <v>332</v>
      </c>
      <c r="G117" s="1" t="s">
        <v>333</v>
      </c>
    </row>
    <row r="118" spans="1:7" ht="30" x14ac:dyDescent="0.2">
      <c r="A118" s="1">
        <f t="shared" si="1"/>
        <v>117</v>
      </c>
      <c r="B118" s="1" t="s">
        <v>195</v>
      </c>
      <c r="C118" s="1" t="s">
        <v>223</v>
      </c>
      <c r="D118" s="1" t="s">
        <v>224</v>
      </c>
      <c r="E118" s="1" t="s">
        <v>37</v>
      </c>
      <c r="F118" s="21" t="s">
        <v>332</v>
      </c>
      <c r="G118" s="1" t="s">
        <v>333</v>
      </c>
    </row>
    <row r="119" spans="1:7" ht="30" x14ac:dyDescent="0.2">
      <c r="A119" s="1">
        <f t="shared" si="1"/>
        <v>118</v>
      </c>
      <c r="B119" s="1" t="s">
        <v>195</v>
      </c>
      <c r="C119" s="1" t="s">
        <v>225</v>
      </c>
      <c r="D119" s="1" t="s">
        <v>226</v>
      </c>
      <c r="E119" s="1" t="s">
        <v>37</v>
      </c>
      <c r="F119" s="21" t="s">
        <v>332</v>
      </c>
      <c r="G119" s="1" t="s">
        <v>333</v>
      </c>
    </row>
    <row r="120" spans="1:7" x14ac:dyDescent="0.2">
      <c r="A120" s="1">
        <f t="shared" si="1"/>
        <v>119</v>
      </c>
      <c r="B120" s="1" t="s">
        <v>195</v>
      </c>
      <c r="C120" s="1" t="s">
        <v>227</v>
      </c>
      <c r="D120" s="1" t="s">
        <v>228</v>
      </c>
      <c r="E120" s="1" t="s">
        <v>37</v>
      </c>
      <c r="F120" s="21" t="s">
        <v>332</v>
      </c>
      <c r="G120" s="1" t="s">
        <v>333</v>
      </c>
    </row>
    <row r="121" spans="1:7" x14ac:dyDescent="0.2">
      <c r="A121" s="1">
        <f t="shared" si="1"/>
        <v>120</v>
      </c>
      <c r="B121" s="1" t="s">
        <v>195</v>
      </c>
      <c r="C121" s="1" t="s">
        <v>229</v>
      </c>
      <c r="D121" s="1" t="s">
        <v>230</v>
      </c>
      <c r="E121" s="1" t="s">
        <v>37</v>
      </c>
      <c r="F121" s="21" t="s">
        <v>332</v>
      </c>
      <c r="G121" s="1" t="s">
        <v>333</v>
      </c>
    </row>
    <row r="122" spans="1:7" ht="30" x14ac:dyDescent="0.2">
      <c r="A122" s="1">
        <f t="shared" si="1"/>
        <v>121</v>
      </c>
      <c r="B122" s="1" t="s">
        <v>195</v>
      </c>
      <c r="C122" s="1" t="s">
        <v>231</v>
      </c>
      <c r="D122" s="1" t="s">
        <v>232</v>
      </c>
      <c r="E122" s="1" t="s">
        <v>37</v>
      </c>
      <c r="F122" s="21" t="s">
        <v>332</v>
      </c>
      <c r="G122" s="1" t="s">
        <v>333</v>
      </c>
    </row>
    <row r="123" spans="1:7" ht="45" x14ac:dyDescent="0.2">
      <c r="A123" s="1">
        <f t="shared" si="1"/>
        <v>122</v>
      </c>
      <c r="B123" s="1" t="s">
        <v>195</v>
      </c>
      <c r="C123" s="1" t="s">
        <v>233</v>
      </c>
      <c r="D123" s="1" t="s">
        <v>234</v>
      </c>
      <c r="E123" s="1" t="s">
        <v>37</v>
      </c>
      <c r="F123" s="21" t="s">
        <v>332</v>
      </c>
      <c r="G123" s="1" t="s">
        <v>333</v>
      </c>
    </row>
    <row r="124" spans="1:7" x14ac:dyDescent="0.2">
      <c r="A124" s="1">
        <f t="shared" si="1"/>
        <v>123</v>
      </c>
      <c r="B124" s="1" t="s">
        <v>195</v>
      </c>
      <c r="C124" s="1" t="s">
        <v>235</v>
      </c>
      <c r="D124" s="1" t="s">
        <v>168</v>
      </c>
      <c r="E124" s="1" t="s">
        <v>37</v>
      </c>
      <c r="F124" s="21" t="s">
        <v>332</v>
      </c>
      <c r="G124" s="1" t="s">
        <v>333</v>
      </c>
    </row>
    <row r="125" spans="1:7" ht="30" x14ac:dyDescent="0.2">
      <c r="A125" s="1">
        <f t="shared" si="1"/>
        <v>124</v>
      </c>
      <c r="B125" s="1" t="s">
        <v>195</v>
      </c>
      <c r="C125" s="1" t="s">
        <v>236</v>
      </c>
      <c r="D125" s="1" t="s">
        <v>237</v>
      </c>
      <c r="E125" s="1" t="s">
        <v>37</v>
      </c>
      <c r="F125" s="21" t="s">
        <v>332</v>
      </c>
      <c r="G125" s="1" t="s">
        <v>333</v>
      </c>
    </row>
    <row r="126" spans="1:7" x14ac:dyDescent="0.2">
      <c r="A126" s="1">
        <f t="shared" si="1"/>
        <v>125</v>
      </c>
      <c r="B126" s="1" t="s">
        <v>195</v>
      </c>
      <c r="C126" s="1" t="s">
        <v>238</v>
      </c>
      <c r="D126" s="1" t="s">
        <v>239</v>
      </c>
      <c r="E126" s="1" t="s">
        <v>37</v>
      </c>
      <c r="F126" s="21" t="s">
        <v>332</v>
      </c>
      <c r="G126" s="1" t="s">
        <v>333</v>
      </c>
    </row>
    <row r="127" spans="1:7" x14ac:dyDescent="0.2">
      <c r="A127" s="1">
        <f t="shared" si="1"/>
        <v>126</v>
      </c>
      <c r="B127" s="1" t="s">
        <v>195</v>
      </c>
      <c r="C127" s="1" t="s">
        <v>240</v>
      </c>
      <c r="D127" s="1" t="s">
        <v>241</v>
      </c>
      <c r="E127" s="1" t="s">
        <v>37</v>
      </c>
      <c r="F127" s="21" t="s">
        <v>332</v>
      </c>
      <c r="G127" s="1" t="s">
        <v>333</v>
      </c>
    </row>
    <row r="128" spans="1:7" x14ac:dyDescent="0.2">
      <c r="A128" s="1">
        <f t="shared" si="1"/>
        <v>127</v>
      </c>
      <c r="B128" s="1" t="s">
        <v>195</v>
      </c>
      <c r="C128" s="1" t="s">
        <v>242</v>
      </c>
      <c r="D128" s="1" t="s">
        <v>243</v>
      </c>
      <c r="E128" s="1" t="s">
        <v>37</v>
      </c>
      <c r="F128" s="21" t="s">
        <v>332</v>
      </c>
      <c r="G128" s="1" t="s">
        <v>333</v>
      </c>
    </row>
    <row r="129" spans="1:7" ht="30" x14ac:dyDescent="0.2">
      <c r="A129" s="1">
        <f t="shared" si="1"/>
        <v>128</v>
      </c>
      <c r="B129" s="1" t="s">
        <v>195</v>
      </c>
      <c r="C129" s="2" t="s">
        <v>244</v>
      </c>
      <c r="D129" s="1" t="s">
        <v>245</v>
      </c>
      <c r="E129" s="1" t="s">
        <v>245</v>
      </c>
      <c r="F129" s="21" t="s">
        <v>332</v>
      </c>
      <c r="G129" s="1" t="s">
        <v>333</v>
      </c>
    </row>
    <row r="130" spans="1:7" ht="30" x14ac:dyDescent="0.2">
      <c r="A130" s="1">
        <f t="shared" si="1"/>
        <v>129</v>
      </c>
      <c r="B130" s="1" t="s">
        <v>195</v>
      </c>
      <c r="C130" s="1" t="s">
        <v>246</v>
      </c>
      <c r="D130" s="1" t="s">
        <v>245</v>
      </c>
      <c r="E130" s="1" t="s">
        <v>245</v>
      </c>
      <c r="F130" s="21" t="s">
        <v>332</v>
      </c>
      <c r="G130" s="1" t="s">
        <v>333</v>
      </c>
    </row>
    <row r="131" spans="1:7" ht="30" x14ac:dyDescent="0.2">
      <c r="A131" s="1">
        <f t="shared" si="1"/>
        <v>130</v>
      </c>
      <c r="B131" s="1" t="s">
        <v>195</v>
      </c>
      <c r="C131" s="1" t="s">
        <v>247</v>
      </c>
      <c r="D131" s="1" t="s">
        <v>248</v>
      </c>
      <c r="E131" s="1" t="s">
        <v>37</v>
      </c>
      <c r="F131" s="21" t="s">
        <v>332</v>
      </c>
      <c r="G131" s="1" t="s">
        <v>333</v>
      </c>
    </row>
    <row r="132" spans="1:7" ht="30" x14ac:dyDescent="0.2">
      <c r="A132" s="1">
        <f t="shared" ref="A132:A166" si="2">A131+1</f>
        <v>131</v>
      </c>
      <c r="B132" s="1" t="s">
        <v>195</v>
      </c>
      <c r="C132" s="2" t="s">
        <v>249</v>
      </c>
      <c r="D132" s="1" t="s">
        <v>250</v>
      </c>
      <c r="E132" s="1" t="s">
        <v>37</v>
      </c>
      <c r="F132" s="21" t="s">
        <v>332</v>
      </c>
      <c r="G132" s="1" t="s">
        <v>333</v>
      </c>
    </row>
    <row r="133" spans="1:7" ht="75" x14ac:dyDescent="0.2">
      <c r="A133" s="1">
        <f t="shared" si="2"/>
        <v>132</v>
      </c>
      <c r="B133" s="1" t="s">
        <v>195</v>
      </c>
      <c r="C133" s="2" t="s">
        <v>251</v>
      </c>
      <c r="D133" s="1" t="s">
        <v>252</v>
      </c>
      <c r="E133" s="1" t="s">
        <v>37</v>
      </c>
      <c r="F133" s="21" t="s">
        <v>332</v>
      </c>
      <c r="G133" s="1" t="s">
        <v>333</v>
      </c>
    </row>
    <row r="134" spans="1:7" ht="30" x14ac:dyDescent="0.2">
      <c r="A134" s="1">
        <f t="shared" si="2"/>
        <v>133</v>
      </c>
      <c r="B134" s="1" t="s">
        <v>195</v>
      </c>
      <c r="C134" s="2" t="s">
        <v>253</v>
      </c>
      <c r="D134" s="1" t="s">
        <v>254</v>
      </c>
      <c r="E134" s="1" t="s">
        <v>37</v>
      </c>
      <c r="F134" s="21" t="s">
        <v>332</v>
      </c>
      <c r="G134" s="1" t="s">
        <v>333</v>
      </c>
    </row>
    <row r="135" spans="1:7" ht="45" x14ac:dyDescent="0.2">
      <c r="A135" s="1">
        <f t="shared" si="2"/>
        <v>134</v>
      </c>
      <c r="B135" s="1" t="s">
        <v>195</v>
      </c>
      <c r="C135" s="2" t="s">
        <v>255</v>
      </c>
      <c r="D135" s="1" t="s">
        <v>256</v>
      </c>
      <c r="E135" s="1" t="s">
        <v>37</v>
      </c>
      <c r="F135" s="21" t="s">
        <v>332</v>
      </c>
      <c r="G135" s="1" t="s">
        <v>333</v>
      </c>
    </row>
    <row r="136" spans="1:7" x14ac:dyDescent="0.2">
      <c r="A136" s="1">
        <f t="shared" si="2"/>
        <v>135</v>
      </c>
      <c r="B136" s="1" t="s">
        <v>195</v>
      </c>
      <c r="C136" s="6" t="s">
        <v>257</v>
      </c>
      <c r="D136" s="1" t="s">
        <v>104</v>
      </c>
      <c r="E136" s="1" t="s">
        <v>105</v>
      </c>
      <c r="F136" s="21" t="s">
        <v>332</v>
      </c>
      <c r="G136" s="1" t="s">
        <v>333</v>
      </c>
    </row>
    <row r="137" spans="1:7" x14ac:dyDescent="0.2">
      <c r="A137" s="1">
        <f t="shared" si="2"/>
        <v>136</v>
      </c>
      <c r="B137" s="1" t="s">
        <v>195</v>
      </c>
      <c r="C137" s="2" t="s">
        <v>258</v>
      </c>
      <c r="D137" s="1" t="s">
        <v>168</v>
      </c>
      <c r="E137" s="1" t="s">
        <v>37</v>
      </c>
      <c r="F137" s="21" t="s">
        <v>332</v>
      </c>
      <c r="G137" s="1" t="s">
        <v>333</v>
      </c>
    </row>
    <row r="138" spans="1:7" ht="30" x14ac:dyDescent="0.2">
      <c r="A138" s="1">
        <f t="shared" si="2"/>
        <v>137</v>
      </c>
      <c r="B138" s="1" t="s">
        <v>195</v>
      </c>
      <c r="C138" s="2" t="s">
        <v>259</v>
      </c>
      <c r="D138" s="1" t="s">
        <v>260</v>
      </c>
      <c r="E138" s="1" t="s">
        <v>37</v>
      </c>
      <c r="F138" s="21" t="s">
        <v>332</v>
      </c>
      <c r="G138" s="1" t="s">
        <v>333</v>
      </c>
    </row>
    <row r="139" spans="1:7" ht="30" x14ac:dyDescent="0.2">
      <c r="A139" s="1">
        <f t="shared" si="2"/>
        <v>138</v>
      </c>
      <c r="B139" s="1" t="s">
        <v>195</v>
      </c>
      <c r="C139" s="2" t="s">
        <v>261</v>
      </c>
      <c r="D139" s="1" t="s">
        <v>262</v>
      </c>
      <c r="E139" s="1" t="s">
        <v>37</v>
      </c>
      <c r="F139" s="21" t="s">
        <v>332</v>
      </c>
      <c r="G139" s="1" t="s">
        <v>333</v>
      </c>
    </row>
    <row r="140" spans="1:7" ht="60" x14ac:dyDescent="0.2">
      <c r="A140" s="1">
        <f t="shared" si="2"/>
        <v>139</v>
      </c>
      <c r="B140" s="1" t="s">
        <v>195</v>
      </c>
      <c r="C140" s="2" t="s">
        <v>263</v>
      </c>
      <c r="D140" s="1" t="s">
        <v>264</v>
      </c>
      <c r="E140" s="1" t="s">
        <v>37</v>
      </c>
      <c r="F140" s="21" t="s">
        <v>332</v>
      </c>
      <c r="G140" s="1" t="s">
        <v>333</v>
      </c>
    </row>
    <row r="141" spans="1:7" ht="30" x14ac:dyDescent="0.2">
      <c r="A141" s="1">
        <f t="shared" si="2"/>
        <v>140</v>
      </c>
      <c r="B141" s="1" t="s">
        <v>195</v>
      </c>
      <c r="C141" s="2" t="s">
        <v>265</v>
      </c>
      <c r="D141" s="1" t="s">
        <v>266</v>
      </c>
      <c r="E141" s="1" t="s">
        <v>37</v>
      </c>
      <c r="F141" s="21" t="s">
        <v>332</v>
      </c>
      <c r="G141" s="1" t="s">
        <v>333</v>
      </c>
    </row>
    <row r="142" spans="1:7" ht="30" x14ac:dyDescent="0.2">
      <c r="A142" s="1">
        <f t="shared" si="2"/>
        <v>141</v>
      </c>
      <c r="B142" s="1" t="s">
        <v>195</v>
      </c>
      <c r="C142" s="2" t="s">
        <v>267</v>
      </c>
      <c r="D142" s="1" t="s">
        <v>266</v>
      </c>
      <c r="E142" s="1" t="s">
        <v>37</v>
      </c>
      <c r="F142" s="21" t="s">
        <v>332</v>
      </c>
      <c r="G142" s="1" t="s">
        <v>333</v>
      </c>
    </row>
    <row r="143" spans="1:7" ht="30" x14ac:dyDescent="0.2">
      <c r="A143" s="1">
        <f t="shared" si="2"/>
        <v>142</v>
      </c>
      <c r="B143" s="1" t="s">
        <v>195</v>
      </c>
      <c r="C143" s="2" t="s">
        <v>268</v>
      </c>
      <c r="D143" s="1" t="s">
        <v>269</v>
      </c>
      <c r="E143" s="1" t="s">
        <v>37</v>
      </c>
      <c r="F143" s="21" t="s">
        <v>332</v>
      </c>
      <c r="G143" s="1" t="s">
        <v>333</v>
      </c>
    </row>
    <row r="144" spans="1:7" ht="30" x14ac:dyDescent="0.2">
      <c r="A144" s="1">
        <f t="shared" si="2"/>
        <v>143</v>
      </c>
      <c r="B144" s="1" t="s">
        <v>195</v>
      </c>
      <c r="C144" s="2" t="s">
        <v>270</v>
      </c>
      <c r="D144" s="1" t="s">
        <v>271</v>
      </c>
      <c r="E144" s="1" t="s">
        <v>37</v>
      </c>
      <c r="F144" s="21" t="s">
        <v>332</v>
      </c>
      <c r="G144" s="1" t="s">
        <v>333</v>
      </c>
    </row>
    <row r="145" spans="1:7" ht="30" x14ac:dyDescent="0.2">
      <c r="A145" s="1">
        <f t="shared" si="2"/>
        <v>144</v>
      </c>
      <c r="B145" s="1" t="s">
        <v>195</v>
      </c>
      <c r="C145" s="2" t="s">
        <v>272</v>
      </c>
      <c r="D145" s="1" t="s">
        <v>273</v>
      </c>
      <c r="E145" s="1" t="s">
        <v>37</v>
      </c>
      <c r="F145" s="21" t="s">
        <v>332</v>
      </c>
      <c r="G145" s="1" t="s">
        <v>333</v>
      </c>
    </row>
    <row r="146" spans="1:7" x14ac:dyDescent="0.2">
      <c r="A146" s="1">
        <f t="shared" si="2"/>
        <v>145</v>
      </c>
      <c r="B146" s="1" t="s">
        <v>195</v>
      </c>
      <c r="C146" s="6" t="s">
        <v>274</v>
      </c>
      <c r="D146" s="1" t="s">
        <v>104</v>
      </c>
      <c r="E146" s="1" t="s">
        <v>105</v>
      </c>
      <c r="F146" s="21" t="s">
        <v>332</v>
      </c>
      <c r="G146" s="1" t="s">
        <v>333</v>
      </c>
    </row>
    <row r="147" spans="1:7" x14ac:dyDescent="0.2">
      <c r="A147" s="1">
        <f t="shared" si="2"/>
        <v>146</v>
      </c>
      <c r="B147" s="1" t="s">
        <v>195</v>
      </c>
      <c r="C147" s="1" t="s">
        <v>275</v>
      </c>
      <c r="D147" s="1" t="s">
        <v>168</v>
      </c>
      <c r="E147" s="1" t="s">
        <v>37</v>
      </c>
      <c r="F147" s="21" t="s">
        <v>332</v>
      </c>
      <c r="G147" s="1" t="s">
        <v>333</v>
      </c>
    </row>
    <row r="148" spans="1:7" x14ac:dyDescent="0.2">
      <c r="A148" s="1">
        <f t="shared" si="2"/>
        <v>147</v>
      </c>
      <c r="B148" s="1" t="s">
        <v>195</v>
      </c>
      <c r="C148" s="1" t="s">
        <v>276</v>
      </c>
      <c r="D148" s="1" t="s">
        <v>168</v>
      </c>
      <c r="E148" s="1" t="s">
        <v>37</v>
      </c>
      <c r="F148" s="21" t="s">
        <v>332</v>
      </c>
      <c r="G148" s="1" t="s">
        <v>333</v>
      </c>
    </row>
    <row r="149" spans="1:7" x14ac:dyDescent="0.2">
      <c r="A149" s="1">
        <f t="shared" si="2"/>
        <v>148</v>
      </c>
      <c r="B149" s="1" t="s">
        <v>195</v>
      </c>
      <c r="C149" s="1" t="s">
        <v>277</v>
      </c>
      <c r="D149" s="1" t="s">
        <v>168</v>
      </c>
      <c r="E149" s="1" t="s">
        <v>37</v>
      </c>
      <c r="F149" s="21" t="s">
        <v>332</v>
      </c>
      <c r="G149" s="1" t="s">
        <v>333</v>
      </c>
    </row>
    <row r="150" spans="1:7" x14ac:dyDescent="0.2">
      <c r="A150" s="1">
        <f t="shared" si="2"/>
        <v>149</v>
      </c>
      <c r="B150" s="1" t="s">
        <v>195</v>
      </c>
      <c r="C150" s="1" t="s">
        <v>278</v>
      </c>
      <c r="D150" s="1" t="s">
        <v>168</v>
      </c>
      <c r="E150" s="1" t="s">
        <v>37</v>
      </c>
      <c r="F150" s="21" t="s">
        <v>332</v>
      </c>
      <c r="G150" s="1" t="s">
        <v>333</v>
      </c>
    </row>
    <row r="151" spans="1:7" x14ac:dyDescent="0.2">
      <c r="A151" s="1">
        <f t="shared" si="2"/>
        <v>150</v>
      </c>
      <c r="B151" s="1" t="s">
        <v>195</v>
      </c>
      <c r="C151" s="1" t="s">
        <v>279</v>
      </c>
      <c r="D151" s="1" t="s">
        <v>280</v>
      </c>
      <c r="E151" s="1" t="s">
        <v>105</v>
      </c>
      <c r="F151" s="21" t="s">
        <v>332</v>
      </c>
      <c r="G151" s="1" t="s">
        <v>333</v>
      </c>
    </row>
    <row r="152" spans="1:7" ht="30" x14ac:dyDescent="0.2">
      <c r="A152" s="1">
        <f t="shared" si="2"/>
        <v>151</v>
      </c>
      <c r="B152" s="1" t="s">
        <v>195</v>
      </c>
      <c r="C152" s="1" t="s">
        <v>281</v>
      </c>
      <c r="D152" s="1" t="s">
        <v>282</v>
      </c>
      <c r="E152" s="1" t="s">
        <v>37</v>
      </c>
      <c r="F152" s="21" t="s">
        <v>332</v>
      </c>
      <c r="G152" s="1" t="s">
        <v>333</v>
      </c>
    </row>
    <row r="153" spans="1:7" x14ac:dyDescent="0.2">
      <c r="A153" s="1">
        <f t="shared" si="2"/>
        <v>152</v>
      </c>
      <c r="B153" s="1" t="s">
        <v>195</v>
      </c>
      <c r="C153" s="1" t="s">
        <v>283</v>
      </c>
      <c r="D153" s="1" t="s">
        <v>168</v>
      </c>
      <c r="E153" s="1" t="s">
        <v>37</v>
      </c>
      <c r="F153" s="21" t="s">
        <v>332</v>
      </c>
      <c r="G153" s="1" t="s">
        <v>333</v>
      </c>
    </row>
    <row r="154" spans="1:7" x14ac:dyDescent="0.2">
      <c r="A154" s="1">
        <f t="shared" si="2"/>
        <v>153</v>
      </c>
      <c r="B154" s="1" t="s">
        <v>195</v>
      </c>
      <c r="C154" s="1" t="s">
        <v>284</v>
      </c>
      <c r="D154" s="1" t="s">
        <v>285</v>
      </c>
      <c r="E154" s="1" t="s">
        <v>105</v>
      </c>
      <c r="F154" s="21" t="s">
        <v>332</v>
      </c>
      <c r="G154" s="1" t="s">
        <v>333</v>
      </c>
    </row>
    <row r="155" spans="1:7" ht="30" x14ac:dyDescent="0.2">
      <c r="A155" s="1">
        <f t="shared" si="2"/>
        <v>154</v>
      </c>
      <c r="B155" s="1" t="s">
        <v>195</v>
      </c>
      <c r="C155" s="1" t="s">
        <v>286</v>
      </c>
      <c r="D155" s="1" t="s">
        <v>287</v>
      </c>
      <c r="E155" s="1" t="s">
        <v>37</v>
      </c>
      <c r="F155" s="21" t="s">
        <v>332</v>
      </c>
      <c r="G155" s="1" t="s">
        <v>333</v>
      </c>
    </row>
    <row r="156" spans="1:7" ht="30" x14ac:dyDescent="0.2">
      <c r="A156" s="1">
        <f t="shared" si="2"/>
        <v>155</v>
      </c>
      <c r="B156" s="1" t="s">
        <v>195</v>
      </c>
      <c r="C156" s="1" t="s">
        <v>288</v>
      </c>
      <c r="D156" s="1" t="s">
        <v>168</v>
      </c>
      <c r="E156" s="1" t="s">
        <v>37</v>
      </c>
      <c r="F156" s="21" t="s">
        <v>332</v>
      </c>
      <c r="G156" s="1" t="s">
        <v>333</v>
      </c>
    </row>
    <row r="157" spans="1:7" x14ac:dyDescent="0.2">
      <c r="A157" s="1">
        <f t="shared" si="2"/>
        <v>156</v>
      </c>
      <c r="B157" s="1" t="s">
        <v>195</v>
      </c>
      <c r="C157" s="1" t="s">
        <v>289</v>
      </c>
      <c r="D157" s="1" t="s">
        <v>168</v>
      </c>
      <c r="E157" s="1" t="s">
        <v>37</v>
      </c>
      <c r="F157" s="21" t="s">
        <v>332</v>
      </c>
      <c r="G157" s="1" t="s">
        <v>333</v>
      </c>
    </row>
    <row r="158" spans="1:7" x14ac:dyDescent="0.2">
      <c r="A158" s="1">
        <f t="shared" si="2"/>
        <v>157</v>
      </c>
      <c r="B158" s="1" t="s">
        <v>195</v>
      </c>
      <c r="C158" s="1" t="s">
        <v>290</v>
      </c>
      <c r="D158" s="1" t="s">
        <v>168</v>
      </c>
      <c r="E158" s="1" t="s">
        <v>37</v>
      </c>
      <c r="F158" s="21" t="s">
        <v>332</v>
      </c>
      <c r="G158" s="1" t="s">
        <v>333</v>
      </c>
    </row>
    <row r="159" spans="1:7" ht="30" x14ac:dyDescent="0.2">
      <c r="A159" s="1">
        <f t="shared" si="2"/>
        <v>158</v>
      </c>
      <c r="B159" s="1" t="s">
        <v>195</v>
      </c>
      <c r="C159" s="1" t="s">
        <v>291</v>
      </c>
      <c r="D159" s="1" t="s">
        <v>292</v>
      </c>
      <c r="E159" s="1" t="s">
        <v>37</v>
      </c>
      <c r="F159" s="21" t="s">
        <v>332</v>
      </c>
      <c r="G159" s="1" t="s">
        <v>333</v>
      </c>
    </row>
    <row r="160" spans="1:7" ht="45" x14ac:dyDescent="0.2">
      <c r="A160" s="1">
        <f t="shared" si="2"/>
        <v>159</v>
      </c>
      <c r="B160" s="1" t="s">
        <v>293</v>
      </c>
      <c r="C160" s="1" t="s">
        <v>294</v>
      </c>
      <c r="D160" s="1" t="s">
        <v>295</v>
      </c>
      <c r="E160" s="1" t="s">
        <v>37</v>
      </c>
      <c r="F160" s="21" t="s">
        <v>332</v>
      </c>
      <c r="G160" s="1" t="s">
        <v>333</v>
      </c>
    </row>
    <row r="161" spans="1:8" x14ac:dyDescent="0.2">
      <c r="A161" s="1">
        <f t="shared" si="2"/>
        <v>160</v>
      </c>
      <c r="B161" s="1" t="s">
        <v>293</v>
      </c>
      <c r="C161" s="1" t="s">
        <v>296</v>
      </c>
      <c r="D161" s="1" t="s">
        <v>297</v>
      </c>
      <c r="E161" s="1" t="s">
        <v>37</v>
      </c>
      <c r="F161" s="21" t="s">
        <v>332</v>
      </c>
      <c r="G161" s="1" t="s">
        <v>333</v>
      </c>
    </row>
    <row r="162" spans="1:8" ht="30" x14ac:dyDescent="0.2">
      <c r="A162" s="1">
        <f t="shared" si="2"/>
        <v>161</v>
      </c>
      <c r="B162" s="1" t="s">
        <v>293</v>
      </c>
      <c r="C162" s="1" t="s">
        <v>298</v>
      </c>
      <c r="D162" s="1" t="s">
        <v>299</v>
      </c>
      <c r="E162" s="1" t="s">
        <v>37</v>
      </c>
      <c r="F162" s="21" t="s">
        <v>332</v>
      </c>
      <c r="G162" s="1" t="s">
        <v>333</v>
      </c>
    </row>
    <row r="163" spans="1:8" ht="30" x14ac:dyDescent="0.2">
      <c r="A163" s="1">
        <f t="shared" si="2"/>
        <v>162</v>
      </c>
      <c r="B163" s="20" t="s">
        <v>195</v>
      </c>
      <c r="C163" s="1" t="s">
        <v>335</v>
      </c>
      <c r="D163" s="1" t="s">
        <v>339</v>
      </c>
      <c r="E163" s="1" t="s">
        <v>37</v>
      </c>
      <c r="F163" s="21" t="s">
        <v>332</v>
      </c>
      <c r="G163" s="1" t="s">
        <v>333</v>
      </c>
      <c r="H163" s="19" t="s">
        <v>343</v>
      </c>
    </row>
    <row r="164" spans="1:8" ht="30" x14ac:dyDescent="0.2">
      <c r="A164" s="1">
        <f t="shared" si="2"/>
        <v>163</v>
      </c>
      <c r="B164" s="20" t="s">
        <v>195</v>
      </c>
      <c r="C164" s="1" t="s">
        <v>336</v>
      </c>
      <c r="D164" s="1" t="s">
        <v>340</v>
      </c>
      <c r="E164" s="1" t="s">
        <v>37</v>
      </c>
      <c r="F164" s="21" t="s">
        <v>332</v>
      </c>
      <c r="G164" s="1" t="s">
        <v>333</v>
      </c>
      <c r="H164" s="19" t="s">
        <v>343</v>
      </c>
    </row>
    <row r="165" spans="1:8" ht="30" x14ac:dyDescent="0.2">
      <c r="A165" s="1">
        <f t="shared" si="2"/>
        <v>164</v>
      </c>
      <c r="B165" s="20" t="s">
        <v>195</v>
      </c>
      <c r="C165" s="1" t="s">
        <v>337</v>
      </c>
      <c r="D165" s="1" t="s">
        <v>341</v>
      </c>
      <c r="E165" s="1" t="s">
        <v>37</v>
      </c>
      <c r="F165" s="21" t="s">
        <v>332</v>
      </c>
      <c r="G165" s="1" t="s">
        <v>333</v>
      </c>
      <c r="H165" s="19" t="s">
        <v>343</v>
      </c>
    </row>
    <row r="166" spans="1:8" ht="30" x14ac:dyDescent="0.2">
      <c r="A166" s="1">
        <f t="shared" si="2"/>
        <v>165</v>
      </c>
      <c r="B166" s="20" t="s">
        <v>195</v>
      </c>
      <c r="C166" s="1" t="s">
        <v>338</v>
      </c>
      <c r="D166" s="1" t="s">
        <v>342</v>
      </c>
      <c r="E166" s="1" t="s">
        <v>37</v>
      </c>
      <c r="F166" s="21" t="s">
        <v>332</v>
      </c>
      <c r="G166" s="1" t="s">
        <v>333</v>
      </c>
      <c r="H166" s="19" t="s">
        <v>343</v>
      </c>
    </row>
  </sheetData>
  <conditionalFormatting sqref="C1:C1048576">
    <cfRule type="duplicateValues" dxfId="1" priority="1"/>
  </conditionalFormatting>
  <pageMargins left="0.7" right="0.7" top="0.75" bottom="0.75" header="0.3" footer="0.3"/>
  <pageSetup paperSize="9" orientation="portrait" r:id="rId1"/>
  <headerFooter>
    <oddFooter>&amp;L_x000D_&amp;1#&amp;"Aptos"&amp;10&amp;K000000 C2 General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41E68-180C-4E34-A086-4DC399AE3E7D}">
  <dimension ref="A1:K166"/>
  <sheetViews>
    <sheetView tabSelected="1" zoomScale="145" zoomScaleNormal="145" workbookViewId="0">
      <pane xSplit="1" ySplit="1" topLeftCell="B2" activePane="bottomRight" state="frozen"/>
      <selection pane="topRight" activeCell="B1" sqref="B1"/>
      <selection pane="bottomLeft" activeCell="A2" sqref="A2"/>
      <selection pane="bottomRight" activeCell="D2" sqref="D2"/>
    </sheetView>
  </sheetViews>
  <sheetFormatPr baseColWidth="10" defaultColWidth="8.83203125" defaultRowHeight="15" x14ac:dyDescent="0.2"/>
  <cols>
    <col min="2" max="2" width="15.1640625" customWidth="1"/>
    <col min="3" max="3" width="25.5" customWidth="1"/>
    <col min="4" max="4" width="62.1640625" customWidth="1"/>
    <col min="5" max="5" width="39.5" customWidth="1"/>
    <col min="6" max="11" width="16" customWidth="1"/>
  </cols>
  <sheetData>
    <row r="1" spans="1:11" ht="45" x14ac:dyDescent="0.2">
      <c r="A1" s="5" t="s">
        <v>0</v>
      </c>
      <c r="B1" s="5" t="s">
        <v>1</v>
      </c>
      <c r="C1" s="5" t="s">
        <v>2</v>
      </c>
      <c r="D1" s="5" t="s">
        <v>3</v>
      </c>
      <c r="E1" s="5" t="s">
        <v>4</v>
      </c>
      <c r="F1" s="5" t="s">
        <v>385</v>
      </c>
      <c r="G1" s="5" t="s">
        <v>416</v>
      </c>
      <c r="H1" s="5" t="s">
        <v>386</v>
      </c>
      <c r="I1" s="5" t="s">
        <v>390</v>
      </c>
      <c r="J1" s="5" t="s">
        <v>389</v>
      </c>
      <c r="K1" s="5" t="s">
        <v>400</v>
      </c>
    </row>
    <row r="2" spans="1:11" ht="60" x14ac:dyDescent="0.2">
      <c r="A2" s="1">
        <v>1</v>
      </c>
      <c r="B2" s="1" t="s">
        <v>5</v>
      </c>
      <c r="C2" s="1" t="s">
        <v>6</v>
      </c>
      <c r="D2" s="1" t="s">
        <v>7</v>
      </c>
      <c r="E2" s="1" t="s">
        <v>8</v>
      </c>
      <c r="F2" s="21" t="s">
        <v>333</v>
      </c>
      <c r="G2" s="21" t="s">
        <v>332</v>
      </c>
      <c r="H2" s="21" t="s">
        <v>332</v>
      </c>
      <c r="I2" s="1" t="s">
        <v>332</v>
      </c>
      <c r="J2" s="1" t="s">
        <v>333</v>
      </c>
      <c r="K2" s="25"/>
    </row>
    <row r="3" spans="1:11" ht="60" x14ac:dyDescent="0.2">
      <c r="A3" s="1">
        <f>A2+1</f>
        <v>2</v>
      </c>
      <c r="B3" s="1" t="s">
        <v>5</v>
      </c>
      <c r="C3" s="1" t="s">
        <v>9</v>
      </c>
      <c r="D3" s="1" t="s">
        <v>10</v>
      </c>
      <c r="E3" s="1" t="s">
        <v>8</v>
      </c>
      <c r="F3" s="21" t="s">
        <v>333</v>
      </c>
      <c r="G3" s="21" t="s">
        <v>332</v>
      </c>
      <c r="H3" s="21" t="s">
        <v>332</v>
      </c>
      <c r="I3" s="1" t="s">
        <v>332</v>
      </c>
      <c r="J3" s="1" t="s">
        <v>333</v>
      </c>
      <c r="K3" s="25"/>
    </row>
    <row r="4" spans="1:11" ht="30" x14ac:dyDescent="0.2">
      <c r="A4" s="1">
        <f t="shared" ref="A4:A67" si="0">A3+1</f>
        <v>3</v>
      </c>
      <c r="B4" s="1" t="s">
        <v>5</v>
      </c>
      <c r="C4" s="1" t="s">
        <v>11</v>
      </c>
      <c r="D4" s="1" t="s">
        <v>12</v>
      </c>
      <c r="E4" s="1" t="s">
        <v>8</v>
      </c>
      <c r="F4" s="21" t="s">
        <v>333</v>
      </c>
      <c r="G4" s="21" t="s">
        <v>332</v>
      </c>
      <c r="H4" s="21" t="s">
        <v>332</v>
      </c>
      <c r="I4" s="1" t="s">
        <v>332</v>
      </c>
      <c r="J4" s="1" t="s">
        <v>333</v>
      </c>
      <c r="K4" s="25"/>
    </row>
    <row r="5" spans="1:11" ht="30" x14ac:dyDescent="0.2">
      <c r="A5" s="1">
        <f t="shared" si="0"/>
        <v>4</v>
      </c>
      <c r="B5" s="1" t="s">
        <v>13</v>
      </c>
      <c r="C5" s="1" t="s">
        <v>14</v>
      </c>
      <c r="D5" s="1" t="s">
        <v>15</v>
      </c>
      <c r="E5" s="1" t="s">
        <v>16</v>
      </c>
      <c r="F5" s="1" t="s">
        <v>333</v>
      </c>
      <c r="G5" s="1" t="s">
        <v>333</v>
      </c>
      <c r="H5" s="1" t="s">
        <v>332</v>
      </c>
      <c r="I5" s="1" t="s">
        <v>332</v>
      </c>
      <c r="J5" s="1" t="s">
        <v>332</v>
      </c>
      <c r="K5" s="25"/>
    </row>
    <row r="6" spans="1:11" x14ac:dyDescent="0.2">
      <c r="A6" s="1">
        <f t="shared" si="0"/>
        <v>5</v>
      </c>
      <c r="B6" s="1" t="s">
        <v>13</v>
      </c>
      <c r="C6" s="1" t="s">
        <v>17</v>
      </c>
      <c r="D6" s="1" t="s">
        <v>18</v>
      </c>
      <c r="E6" s="1" t="s">
        <v>19</v>
      </c>
      <c r="F6" s="21" t="s">
        <v>332</v>
      </c>
      <c r="G6" s="21" t="s">
        <v>332</v>
      </c>
      <c r="H6" s="22" t="s">
        <v>332</v>
      </c>
      <c r="I6" s="1" t="s">
        <v>332</v>
      </c>
      <c r="J6" s="1" t="s">
        <v>333</v>
      </c>
      <c r="K6" s="25"/>
    </row>
    <row r="7" spans="1:11" x14ac:dyDescent="0.2">
      <c r="A7" s="1">
        <f t="shared" si="0"/>
        <v>6</v>
      </c>
      <c r="B7" s="1" t="s">
        <v>13</v>
      </c>
      <c r="C7" s="1" t="s">
        <v>20</v>
      </c>
      <c r="D7" s="1" t="s">
        <v>21</v>
      </c>
      <c r="E7" s="1" t="s">
        <v>19</v>
      </c>
      <c r="F7" s="21" t="s">
        <v>332</v>
      </c>
      <c r="G7" s="21" t="s">
        <v>332</v>
      </c>
      <c r="H7" s="22" t="s">
        <v>332</v>
      </c>
      <c r="I7" s="1" t="s">
        <v>332</v>
      </c>
      <c r="J7" s="1" t="s">
        <v>333</v>
      </c>
      <c r="K7" s="25"/>
    </row>
    <row r="8" spans="1:11" x14ac:dyDescent="0.2">
      <c r="A8" s="1">
        <f t="shared" si="0"/>
        <v>7</v>
      </c>
      <c r="B8" s="1" t="s">
        <v>13</v>
      </c>
      <c r="C8" s="1" t="s">
        <v>22</v>
      </c>
      <c r="D8" s="1" t="s">
        <v>23</v>
      </c>
      <c r="E8" s="1" t="s">
        <v>19</v>
      </c>
      <c r="F8" s="21" t="s">
        <v>332</v>
      </c>
      <c r="G8" s="21" t="s">
        <v>332</v>
      </c>
      <c r="H8" s="21" t="s">
        <v>332</v>
      </c>
      <c r="I8" s="1" t="s">
        <v>332</v>
      </c>
      <c r="J8" s="1" t="s">
        <v>333</v>
      </c>
      <c r="K8" s="25"/>
    </row>
    <row r="9" spans="1:11" ht="30" x14ac:dyDescent="0.2">
      <c r="A9" s="1">
        <f t="shared" si="0"/>
        <v>8</v>
      </c>
      <c r="B9" s="1" t="s">
        <v>13</v>
      </c>
      <c r="C9" s="1" t="s">
        <v>24</v>
      </c>
      <c r="D9" s="1" t="s">
        <v>25</v>
      </c>
      <c r="E9" s="1" t="s">
        <v>19</v>
      </c>
      <c r="F9" s="21" t="s">
        <v>332</v>
      </c>
      <c r="G9" s="21" t="s">
        <v>332</v>
      </c>
      <c r="H9" s="21" t="s">
        <v>332</v>
      </c>
      <c r="I9" s="1" t="s">
        <v>332</v>
      </c>
      <c r="J9" s="1" t="s">
        <v>333</v>
      </c>
      <c r="K9" s="25"/>
    </row>
    <row r="10" spans="1:11" x14ac:dyDescent="0.2">
      <c r="A10" s="1">
        <f t="shared" si="0"/>
        <v>9</v>
      </c>
      <c r="B10" s="1" t="s">
        <v>13</v>
      </c>
      <c r="C10" s="1" t="s">
        <v>26</v>
      </c>
      <c r="D10" s="1" t="s">
        <v>27</v>
      </c>
      <c r="E10" s="1" t="s">
        <v>19</v>
      </c>
      <c r="F10" s="1" t="s">
        <v>333</v>
      </c>
      <c r="G10" s="21" t="s">
        <v>332</v>
      </c>
      <c r="H10" s="21" t="s">
        <v>332</v>
      </c>
      <c r="I10" s="1" t="s">
        <v>332</v>
      </c>
      <c r="J10" s="1" t="s">
        <v>333</v>
      </c>
      <c r="K10" s="25"/>
    </row>
    <row r="11" spans="1:11" x14ac:dyDescent="0.2">
      <c r="A11" s="1">
        <f t="shared" si="0"/>
        <v>10</v>
      </c>
      <c r="B11" s="1" t="s">
        <v>13</v>
      </c>
      <c r="C11" s="1" t="s">
        <v>28</v>
      </c>
      <c r="D11" s="1" t="s">
        <v>29</v>
      </c>
      <c r="E11" s="1" t="s">
        <v>19</v>
      </c>
      <c r="F11" s="1" t="s">
        <v>333</v>
      </c>
      <c r="G11" s="21" t="s">
        <v>332</v>
      </c>
      <c r="H11" s="21" t="s">
        <v>332</v>
      </c>
      <c r="I11" s="1" t="s">
        <v>332</v>
      </c>
      <c r="J11" s="1" t="s">
        <v>333</v>
      </c>
      <c r="K11" s="25"/>
    </row>
    <row r="12" spans="1:11" x14ac:dyDescent="0.2">
      <c r="A12" s="1">
        <f t="shared" si="0"/>
        <v>11</v>
      </c>
      <c r="B12" s="1" t="s">
        <v>13</v>
      </c>
      <c r="C12" s="1" t="s">
        <v>30</v>
      </c>
      <c r="D12" s="1" t="s">
        <v>31</v>
      </c>
      <c r="E12" s="1" t="s">
        <v>19</v>
      </c>
      <c r="F12" s="21" t="s">
        <v>332</v>
      </c>
      <c r="G12" s="21" t="s">
        <v>332</v>
      </c>
      <c r="H12" s="21" t="s">
        <v>332</v>
      </c>
      <c r="I12" s="1" t="s">
        <v>332</v>
      </c>
      <c r="J12" s="1" t="s">
        <v>333</v>
      </c>
      <c r="K12" s="25"/>
    </row>
    <row r="13" spans="1:11" x14ac:dyDescent="0.2">
      <c r="A13" s="1">
        <f t="shared" si="0"/>
        <v>12</v>
      </c>
      <c r="B13" s="1" t="s">
        <v>13</v>
      </c>
      <c r="C13" s="1" t="s">
        <v>32</v>
      </c>
      <c r="D13" s="1" t="s">
        <v>334</v>
      </c>
      <c r="E13" s="1" t="s">
        <v>19</v>
      </c>
      <c r="F13" s="1" t="s">
        <v>333</v>
      </c>
      <c r="G13" s="22" t="s">
        <v>332</v>
      </c>
      <c r="H13" s="21" t="s">
        <v>332</v>
      </c>
      <c r="I13" s="1" t="s">
        <v>333</v>
      </c>
      <c r="J13" s="1" t="s">
        <v>332</v>
      </c>
      <c r="K13" s="25"/>
    </row>
    <row r="14" spans="1:11" ht="45" x14ac:dyDescent="0.2">
      <c r="A14" s="1">
        <f t="shared" si="0"/>
        <v>13</v>
      </c>
      <c r="B14" s="1" t="s">
        <v>13</v>
      </c>
      <c r="C14" s="1" t="s">
        <v>33</v>
      </c>
      <c r="D14" s="1" t="s">
        <v>34</v>
      </c>
      <c r="E14" s="1" t="s">
        <v>19</v>
      </c>
      <c r="F14" s="21" t="s">
        <v>332</v>
      </c>
      <c r="G14" s="1" t="s">
        <v>333</v>
      </c>
      <c r="H14" s="21" t="s">
        <v>332</v>
      </c>
      <c r="I14" s="1" t="s">
        <v>332</v>
      </c>
      <c r="J14" s="1" t="s">
        <v>333</v>
      </c>
      <c r="K14" s="25"/>
    </row>
    <row r="15" spans="1:11" ht="45" x14ac:dyDescent="0.2">
      <c r="A15" s="1">
        <f t="shared" si="0"/>
        <v>14</v>
      </c>
      <c r="B15" s="1" t="s">
        <v>13</v>
      </c>
      <c r="C15" s="1" t="s">
        <v>35</v>
      </c>
      <c r="D15" s="1" t="s">
        <v>36</v>
      </c>
      <c r="E15" s="1" t="s">
        <v>37</v>
      </c>
      <c r="F15" s="1" t="s">
        <v>333</v>
      </c>
      <c r="G15" s="1" t="s">
        <v>333</v>
      </c>
      <c r="H15" s="1" t="s">
        <v>332</v>
      </c>
      <c r="I15" s="1" t="s">
        <v>332</v>
      </c>
      <c r="J15" s="1" t="s">
        <v>332</v>
      </c>
      <c r="K15" s="25"/>
    </row>
    <row r="16" spans="1:11" ht="30" x14ac:dyDescent="0.2">
      <c r="A16" s="1">
        <f t="shared" si="0"/>
        <v>15</v>
      </c>
      <c r="B16" s="1" t="s">
        <v>13</v>
      </c>
      <c r="C16" s="1" t="s">
        <v>38</v>
      </c>
      <c r="D16" s="1" t="s">
        <v>39</v>
      </c>
      <c r="E16" s="1" t="s">
        <v>19</v>
      </c>
      <c r="F16" s="22" t="s">
        <v>332</v>
      </c>
      <c r="G16" s="1" t="s">
        <v>333</v>
      </c>
      <c r="H16" s="22" t="s">
        <v>332</v>
      </c>
      <c r="I16" s="1" t="s">
        <v>332</v>
      </c>
      <c r="J16" s="1" t="s">
        <v>333</v>
      </c>
      <c r="K16" s="25"/>
    </row>
    <row r="17" spans="1:11" ht="45" x14ac:dyDescent="0.2">
      <c r="A17" s="1">
        <f t="shared" si="0"/>
        <v>16</v>
      </c>
      <c r="B17" s="1" t="s">
        <v>13</v>
      </c>
      <c r="C17" s="1" t="s">
        <v>40</v>
      </c>
      <c r="D17" s="1" t="s">
        <v>41</v>
      </c>
      <c r="E17" s="1" t="s">
        <v>37</v>
      </c>
      <c r="F17" s="1" t="s">
        <v>333</v>
      </c>
      <c r="G17" s="1" t="s">
        <v>333</v>
      </c>
      <c r="H17" s="1" t="s">
        <v>332</v>
      </c>
      <c r="I17" s="1" t="s">
        <v>332</v>
      </c>
      <c r="J17" s="1" t="s">
        <v>332</v>
      </c>
      <c r="K17" s="25"/>
    </row>
    <row r="18" spans="1:11" ht="45" x14ac:dyDescent="0.2">
      <c r="A18" s="1">
        <f t="shared" si="0"/>
        <v>17</v>
      </c>
      <c r="B18" s="1" t="s">
        <v>13</v>
      </c>
      <c r="C18" s="2" t="s">
        <v>42</v>
      </c>
      <c r="D18" s="1" t="s">
        <v>43</v>
      </c>
      <c r="E18" s="1" t="s">
        <v>37</v>
      </c>
      <c r="F18" s="1" t="s">
        <v>333</v>
      </c>
      <c r="G18" s="1" t="s">
        <v>333</v>
      </c>
      <c r="H18" s="1" t="s">
        <v>332</v>
      </c>
      <c r="I18" s="1" t="s">
        <v>332</v>
      </c>
      <c r="J18" s="1" t="s">
        <v>332</v>
      </c>
      <c r="K18" s="25"/>
    </row>
    <row r="19" spans="1:11" ht="30" x14ac:dyDescent="0.2">
      <c r="A19" s="1">
        <f t="shared" si="0"/>
        <v>18</v>
      </c>
      <c r="B19" s="1" t="s">
        <v>13</v>
      </c>
      <c r="C19" s="2" t="s">
        <v>44</v>
      </c>
      <c r="D19" s="1" t="s">
        <v>45</v>
      </c>
      <c r="E19" s="1" t="s">
        <v>37</v>
      </c>
      <c r="F19" s="1" t="s">
        <v>333</v>
      </c>
      <c r="G19" s="1" t="s">
        <v>333</v>
      </c>
      <c r="H19" s="1" t="s">
        <v>332</v>
      </c>
      <c r="I19" s="1" t="s">
        <v>333</v>
      </c>
      <c r="J19" s="1" t="s">
        <v>332</v>
      </c>
      <c r="K19" s="25"/>
    </row>
    <row r="20" spans="1:11" ht="75" x14ac:dyDescent="0.2">
      <c r="A20" s="1">
        <f t="shared" si="0"/>
        <v>19</v>
      </c>
      <c r="B20" s="1" t="s">
        <v>13</v>
      </c>
      <c r="C20" s="2" t="s">
        <v>46</v>
      </c>
      <c r="D20" s="1" t="s">
        <v>47</v>
      </c>
      <c r="E20" s="1" t="s">
        <v>37</v>
      </c>
      <c r="F20" s="1" t="s">
        <v>333</v>
      </c>
      <c r="G20" s="1" t="s">
        <v>333</v>
      </c>
      <c r="H20" s="1" t="s">
        <v>332</v>
      </c>
      <c r="I20" s="1" t="s">
        <v>333</v>
      </c>
      <c r="J20" s="1" t="s">
        <v>332</v>
      </c>
      <c r="K20" s="25"/>
    </row>
    <row r="21" spans="1:11" ht="30" x14ac:dyDescent="0.2">
      <c r="A21" s="1">
        <f t="shared" si="0"/>
        <v>20</v>
      </c>
      <c r="B21" s="1" t="s">
        <v>13</v>
      </c>
      <c r="C21" s="2" t="s">
        <v>48</v>
      </c>
      <c r="D21" s="1" t="s">
        <v>49</v>
      </c>
      <c r="E21" s="1" t="s">
        <v>37</v>
      </c>
      <c r="F21" s="1" t="s">
        <v>333</v>
      </c>
      <c r="G21" s="1" t="s">
        <v>333</v>
      </c>
      <c r="H21" s="1" t="s">
        <v>332</v>
      </c>
      <c r="I21" s="1" t="s">
        <v>333</v>
      </c>
      <c r="J21" s="1" t="s">
        <v>332</v>
      </c>
      <c r="K21" s="25"/>
    </row>
    <row r="22" spans="1:11" ht="75" x14ac:dyDescent="0.2">
      <c r="A22" s="1">
        <f t="shared" si="0"/>
        <v>21</v>
      </c>
      <c r="B22" s="1" t="s">
        <v>13</v>
      </c>
      <c r="C22" s="2" t="s">
        <v>50</v>
      </c>
      <c r="D22" s="1" t="s">
        <v>51</v>
      </c>
      <c r="E22" s="1" t="s">
        <v>37</v>
      </c>
      <c r="F22" s="1" t="s">
        <v>333</v>
      </c>
      <c r="G22" s="1" t="s">
        <v>333</v>
      </c>
      <c r="H22" s="1" t="s">
        <v>332</v>
      </c>
      <c r="I22" s="1" t="s">
        <v>333</v>
      </c>
      <c r="J22" s="1" t="s">
        <v>332</v>
      </c>
      <c r="K22" s="25"/>
    </row>
    <row r="23" spans="1:11" ht="30" x14ac:dyDescent="0.2">
      <c r="A23" s="1">
        <f t="shared" si="0"/>
        <v>22</v>
      </c>
      <c r="B23" s="1" t="s">
        <v>52</v>
      </c>
      <c r="C23" s="1" t="s">
        <v>53</v>
      </c>
      <c r="D23" s="1" t="s">
        <v>54</v>
      </c>
      <c r="E23" s="1" t="s">
        <v>37</v>
      </c>
      <c r="F23" s="1" t="s">
        <v>333</v>
      </c>
      <c r="G23" s="1" t="s">
        <v>333</v>
      </c>
      <c r="H23" s="1" t="s">
        <v>332</v>
      </c>
      <c r="I23" s="1" t="s">
        <v>332</v>
      </c>
      <c r="J23" s="1" t="s">
        <v>332</v>
      </c>
      <c r="K23" s="25"/>
    </row>
    <row r="24" spans="1:11" ht="60" x14ac:dyDescent="0.2">
      <c r="A24" s="1">
        <f t="shared" si="0"/>
        <v>23</v>
      </c>
      <c r="B24" s="1" t="s">
        <v>52</v>
      </c>
      <c r="C24" s="1" t="s">
        <v>55</v>
      </c>
      <c r="D24" s="1" t="s">
        <v>56</v>
      </c>
      <c r="E24" s="1" t="s">
        <v>37</v>
      </c>
      <c r="F24" s="1" t="s">
        <v>333</v>
      </c>
      <c r="G24" s="1" t="s">
        <v>333</v>
      </c>
      <c r="H24" s="1" t="s">
        <v>332</v>
      </c>
      <c r="I24" s="1" t="s">
        <v>332</v>
      </c>
      <c r="J24" s="1" t="s">
        <v>332</v>
      </c>
      <c r="K24" s="25"/>
    </row>
    <row r="25" spans="1:11" ht="75" x14ac:dyDescent="0.2">
      <c r="A25" s="1">
        <f t="shared" si="0"/>
        <v>24</v>
      </c>
      <c r="B25" s="1" t="s">
        <v>52</v>
      </c>
      <c r="C25" s="1" t="s">
        <v>57</v>
      </c>
      <c r="D25" s="1" t="s">
        <v>58</v>
      </c>
      <c r="E25" s="1" t="s">
        <v>59</v>
      </c>
      <c r="F25" s="1" t="s">
        <v>333</v>
      </c>
      <c r="G25" s="1" t="s">
        <v>333</v>
      </c>
      <c r="H25" s="1" t="s">
        <v>332</v>
      </c>
      <c r="I25" s="1" t="s">
        <v>332</v>
      </c>
      <c r="J25" s="1" t="s">
        <v>332</v>
      </c>
      <c r="K25" s="25"/>
    </row>
    <row r="26" spans="1:11" ht="30" x14ac:dyDescent="0.2">
      <c r="A26" s="1">
        <f t="shared" si="0"/>
        <v>25</v>
      </c>
      <c r="B26" s="1" t="s">
        <v>52</v>
      </c>
      <c r="C26" s="1" t="s">
        <v>60</v>
      </c>
      <c r="D26" s="1" t="s">
        <v>61</v>
      </c>
      <c r="E26" s="1" t="s">
        <v>62</v>
      </c>
      <c r="F26" s="1" t="s">
        <v>333</v>
      </c>
      <c r="G26" s="1" t="s">
        <v>333</v>
      </c>
      <c r="H26" s="1" t="s">
        <v>332</v>
      </c>
      <c r="I26" s="1" t="s">
        <v>332</v>
      </c>
      <c r="J26" s="1" t="s">
        <v>332</v>
      </c>
      <c r="K26" s="25"/>
    </row>
    <row r="27" spans="1:11" ht="45" x14ac:dyDescent="0.2">
      <c r="A27" s="1">
        <f t="shared" si="0"/>
        <v>26</v>
      </c>
      <c r="B27" s="1" t="s">
        <v>52</v>
      </c>
      <c r="C27" s="1" t="s">
        <v>63</v>
      </c>
      <c r="D27" s="1" t="s">
        <v>64</v>
      </c>
      <c r="E27" s="1" t="s">
        <v>65</v>
      </c>
      <c r="F27" s="1" t="s">
        <v>333</v>
      </c>
      <c r="G27" s="21" t="s">
        <v>332</v>
      </c>
      <c r="H27" s="21" t="s">
        <v>332</v>
      </c>
      <c r="I27" s="1" t="s">
        <v>332</v>
      </c>
      <c r="J27" s="1" t="s">
        <v>333</v>
      </c>
      <c r="K27" s="25"/>
    </row>
    <row r="28" spans="1:11" ht="90" x14ac:dyDescent="0.2">
      <c r="A28" s="1">
        <f t="shared" si="0"/>
        <v>27</v>
      </c>
      <c r="B28" s="1" t="s">
        <v>52</v>
      </c>
      <c r="C28" s="1" t="s">
        <v>66</v>
      </c>
      <c r="D28" s="1" t="s">
        <v>67</v>
      </c>
      <c r="E28" s="1" t="s">
        <v>65</v>
      </c>
      <c r="F28" s="21" t="s">
        <v>332</v>
      </c>
      <c r="G28" s="21" t="s">
        <v>332</v>
      </c>
      <c r="H28" s="21" t="s">
        <v>332</v>
      </c>
      <c r="I28" s="1" t="s">
        <v>332</v>
      </c>
      <c r="J28" s="1" t="s">
        <v>332</v>
      </c>
      <c r="K28" s="25"/>
    </row>
    <row r="29" spans="1:11" ht="30" x14ac:dyDescent="0.2">
      <c r="A29" s="1">
        <f t="shared" si="0"/>
        <v>28</v>
      </c>
      <c r="B29" s="1" t="s">
        <v>52</v>
      </c>
      <c r="C29" s="1" t="s">
        <v>68</v>
      </c>
      <c r="D29" s="1" t="s">
        <v>69</v>
      </c>
      <c r="E29" s="1" t="s">
        <v>37</v>
      </c>
      <c r="F29" s="1" t="s">
        <v>333</v>
      </c>
      <c r="G29" s="1" t="s">
        <v>333</v>
      </c>
      <c r="H29" s="1" t="s">
        <v>332</v>
      </c>
      <c r="I29" s="1" t="s">
        <v>332</v>
      </c>
      <c r="J29" s="1" t="s">
        <v>332</v>
      </c>
      <c r="K29" s="25"/>
    </row>
    <row r="30" spans="1:11" ht="60" x14ac:dyDescent="0.2">
      <c r="A30" s="1">
        <f t="shared" si="0"/>
        <v>29</v>
      </c>
      <c r="B30" s="1" t="s">
        <v>52</v>
      </c>
      <c r="C30" s="1" t="s">
        <v>70</v>
      </c>
      <c r="D30" s="1" t="s">
        <v>71</v>
      </c>
      <c r="E30" s="1" t="s">
        <v>37</v>
      </c>
      <c r="F30" s="1" t="s">
        <v>333</v>
      </c>
      <c r="G30" s="1" t="s">
        <v>333</v>
      </c>
      <c r="H30" s="1" t="s">
        <v>332</v>
      </c>
      <c r="I30" s="1" t="s">
        <v>332</v>
      </c>
      <c r="J30" s="1" t="s">
        <v>332</v>
      </c>
      <c r="K30" s="25"/>
    </row>
    <row r="31" spans="1:11" ht="30" x14ac:dyDescent="0.2">
      <c r="A31" s="1">
        <f t="shared" si="0"/>
        <v>30</v>
      </c>
      <c r="B31" s="1" t="s">
        <v>52</v>
      </c>
      <c r="C31" s="1" t="s">
        <v>72</v>
      </c>
      <c r="D31" s="1" t="s">
        <v>73</v>
      </c>
      <c r="E31" s="1" t="s">
        <v>37</v>
      </c>
      <c r="F31" s="1" t="s">
        <v>333</v>
      </c>
      <c r="G31" s="1" t="s">
        <v>333</v>
      </c>
      <c r="H31" s="1" t="s">
        <v>332</v>
      </c>
      <c r="I31" s="1" t="s">
        <v>332</v>
      </c>
      <c r="J31" s="1" t="s">
        <v>332</v>
      </c>
      <c r="K31" s="25"/>
    </row>
    <row r="32" spans="1:11" ht="60" x14ac:dyDescent="0.2">
      <c r="A32" s="1">
        <f t="shared" si="0"/>
        <v>31</v>
      </c>
      <c r="B32" s="1" t="s">
        <v>52</v>
      </c>
      <c r="C32" s="1" t="s">
        <v>74</v>
      </c>
      <c r="D32" s="1" t="s">
        <v>75</v>
      </c>
      <c r="E32" s="1" t="s">
        <v>37</v>
      </c>
      <c r="F32" s="1" t="s">
        <v>333</v>
      </c>
      <c r="G32" s="1" t="s">
        <v>333</v>
      </c>
      <c r="H32" s="1" t="s">
        <v>332</v>
      </c>
      <c r="I32" s="1" t="s">
        <v>332</v>
      </c>
      <c r="J32" s="1" t="s">
        <v>332</v>
      </c>
      <c r="K32" s="1" t="s">
        <v>391</v>
      </c>
    </row>
    <row r="33" spans="1:11" ht="30" x14ac:dyDescent="0.2">
      <c r="A33" s="1">
        <f t="shared" si="0"/>
        <v>32</v>
      </c>
      <c r="B33" s="1" t="s">
        <v>52</v>
      </c>
      <c r="C33" s="1" t="s">
        <v>76</v>
      </c>
      <c r="D33" s="1" t="s">
        <v>77</v>
      </c>
      <c r="E33" s="1" t="s">
        <v>37</v>
      </c>
      <c r="F33" s="1" t="s">
        <v>333</v>
      </c>
      <c r="G33" s="1" t="s">
        <v>333</v>
      </c>
      <c r="H33" s="1" t="s">
        <v>332</v>
      </c>
      <c r="I33" s="1" t="s">
        <v>332</v>
      </c>
      <c r="J33" s="1" t="s">
        <v>332</v>
      </c>
      <c r="K33" s="25"/>
    </row>
    <row r="34" spans="1:11" ht="30" x14ac:dyDescent="0.2">
      <c r="A34" s="1">
        <f t="shared" si="0"/>
        <v>33</v>
      </c>
      <c r="B34" s="1" t="s">
        <v>52</v>
      </c>
      <c r="C34" s="1" t="s">
        <v>78</v>
      </c>
      <c r="D34" s="1" t="s">
        <v>79</v>
      </c>
      <c r="E34" s="1" t="s">
        <v>37</v>
      </c>
      <c r="F34" s="1" t="s">
        <v>333</v>
      </c>
      <c r="G34" s="1" t="s">
        <v>333</v>
      </c>
      <c r="H34" s="1" t="s">
        <v>332</v>
      </c>
      <c r="I34" s="1" t="s">
        <v>332</v>
      </c>
      <c r="J34" s="1" t="s">
        <v>332</v>
      </c>
      <c r="K34" s="25"/>
    </row>
    <row r="35" spans="1:11" ht="30" x14ac:dyDescent="0.2">
      <c r="A35" s="1">
        <f t="shared" si="0"/>
        <v>34</v>
      </c>
      <c r="B35" s="1" t="s">
        <v>52</v>
      </c>
      <c r="C35" s="1" t="s">
        <v>80</v>
      </c>
      <c r="D35" s="1" t="s">
        <v>81</v>
      </c>
      <c r="E35" s="1" t="s">
        <v>37</v>
      </c>
      <c r="F35" s="1" t="s">
        <v>333</v>
      </c>
      <c r="G35" s="1" t="s">
        <v>333</v>
      </c>
      <c r="H35" s="1" t="s">
        <v>332</v>
      </c>
      <c r="I35" s="1" t="s">
        <v>333</v>
      </c>
      <c r="J35" s="1" t="s">
        <v>332</v>
      </c>
      <c r="K35" s="25"/>
    </row>
    <row r="36" spans="1:11" ht="30" x14ac:dyDescent="0.2">
      <c r="A36" s="1">
        <f t="shared" si="0"/>
        <v>35</v>
      </c>
      <c r="B36" s="1" t="s">
        <v>52</v>
      </c>
      <c r="C36" s="1" t="s">
        <v>82</v>
      </c>
      <c r="D36" s="1" t="s">
        <v>83</v>
      </c>
      <c r="E36" s="1" t="s">
        <v>37</v>
      </c>
      <c r="F36" s="1" t="s">
        <v>333</v>
      </c>
      <c r="G36" s="1" t="s">
        <v>333</v>
      </c>
      <c r="H36" s="1" t="s">
        <v>332</v>
      </c>
      <c r="I36" s="1" t="s">
        <v>332</v>
      </c>
      <c r="J36" s="1" t="s">
        <v>332</v>
      </c>
      <c r="K36" s="25"/>
    </row>
    <row r="37" spans="1:11" ht="45" x14ac:dyDescent="0.2">
      <c r="A37" s="1">
        <f t="shared" si="0"/>
        <v>36</v>
      </c>
      <c r="B37" s="1" t="s">
        <v>52</v>
      </c>
      <c r="C37" s="1" t="s">
        <v>84</v>
      </c>
      <c r="D37" s="1" t="s">
        <v>85</v>
      </c>
      <c r="E37" s="1" t="s">
        <v>37</v>
      </c>
      <c r="F37" s="1" t="s">
        <v>333</v>
      </c>
      <c r="G37" s="1" t="s">
        <v>333</v>
      </c>
      <c r="H37" s="1" t="s">
        <v>332</v>
      </c>
      <c r="I37" s="1" t="s">
        <v>332</v>
      </c>
      <c r="J37" s="1" t="s">
        <v>332</v>
      </c>
      <c r="K37" s="25"/>
    </row>
    <row r="38" spans="1:11" ht="60" x14ac:dyDescent="0.2">
      <c r="A38" s="1">
        <f t="shared" si="0"/>
        <v>37</v>
      </c>
      <c r="B38" s="1" t="s">
        <v>52</v>
      </c>
      <c r="C38" s="1" t="s">
        <v>86</v>
      </c>
      <c r="D38" s="1" t="s">
        <v>87</v>
      </c>
      <c r="E38" s="1" t="s">
        <v>88</v>
      </c>
      <c r="F38" s="22" t="s">
        <v>333</v>
      </c>
      <c r="G38" s="21" t="s">
        <v>332</v>
      </c>
      <c r="H38" s="21" t="s">
        <v>332</v>
      </c>
      <c r="I38" s="1" t="s">
        <v>332</v>
      </c>
      <c r="J38" s="1" t="s">
        <v>332</v>
      </c>
      <c r="K38" s="25"/>
    </row>
    <row r="39" spans="1:11" ht="30" x14ac:dyDescent="0.2">
      <c r="A39" s="1">
        <f t="shared" si="0"/>
        <v>38</v>
      </c>
      <c r="B39" s="1" t="s">
        <v>52</v>
      </c>
      <c r="C39" s="1" t="s">
        <v>89</v>
      </c>
      <c r="D39" s="1" t="s">
        <v>90</v>
      </c>
      <c r="E39" s="1" t="s">
        <v>37</v>
      </c>
      <c r="F39" s="1" t="s">
        <v>333</v>
      </c>
      <c r="G39" s="1" t="s">
        <v>333</v>
      </c>
      <c r="H39" s="1" t="s">
        <v>332</v>
      </c>
      <c r="I39" s="1" t="s">
        <v>332</v>
      </c>
      <c r="J39" s="1" t="s">
        <v>332</v>
      </c>
      <c r="K39" s="25"/>
    </row>
    <row r="40" spans="1:11" ht="45" x14ac:dyDescent="0.2">
      <c r="A40" s="1">
        <f t="shared" si="0"/>
        <v>39</v>
      </c>
      <c r="B40" s="1" t="s">
        <v>52</v>
      </c>
      <c r="C40" s="1" t="s">
        <v>91</v>
      </c>
      <c r="D40" s="1" t="s">
        <v>92</v>
      </c>
      <c r="E40" s="1" t="s">
        <v>37</v>
      </c>
      <c r="F40" s="1" t="s">
        <v>333</v>
      </c>
      <c r="G40" s="1" t="s">
        <v>333</v>
      </c>
      <c r="H40" s="1" t="s">
        <v>332</v>
      </c>
      <c r="I40" s="1" t="s">
        <v>332</v>
      </c>
      <c r="J40" s="1" t="s">
        <v>332</v>
      </c>
      <c r="K40" s="25"/>
    </row>
    <row r="41" spans="1:11" ht="30" x14ac:dyDescent="0.2">
      <c r="A41" s="1">
        <f t="shared" si="0"/>
        <v>40</v>
      </c>
      <c r="B41" s="1" t="s">
        <v>52</v>
      </c>
      <c r="C41" s="1" t="s">
        <v>93</v>
      </c>
      <c r="D41" s="1" t="s">
        <v>94</v>
      </c>
      <c r="E41" s="1" t="s">
        <v>37</v>
      </c>
      <c r="F41" s="1" t="s">
        <v>333</v>
      </c>
      <c r="G41" s="1" t="s">
        <v>333</v>
      </c>
      <c r="H41" s="1" t="s">
        <v>332</v>
      </c>
      <c r="I41" s="1" t="s">
        <v>332</v>
      </c>
      <c r="J41" s="1" t="s">
        <v>332</v>
      </c>
      <c r="K41" s="25"/>
    </row>
    <row r="42" spans="1:11" ht="30" x14ac:dyDescent="0.2">
      <c r="A42" s="1">
        <f t="shared" si="0"/>
        <v>41</v>
      </c>
      <c r="B42" s="1" t="s">
        <v>52</v>
      </c>
      <c r="C42" s="1" t="s">
        <v>95</v>
      </c>
      <c r="D42" s="1" t="s">
        <v>96</v>
      </c>
      <c r="E42" s="1" t="s">
        <v>37</v>
      </c>
      <c r="F42" s="1" t="s">
        <v>333</v>
      </c>
      <c r="G42" s="1" t="s">
        <v>333</v>
      </c>
      <c r="H42" s="1" t="s">
        <v>332</v>
      </c>
      <c r="I42" s="1" t="s">
        <v>332</v>
      </c>
      <c r="J42" s="1" t="s">
        <v>332</v>
      </c>
      <c r="K42" s="25"/>
    </row>
    <row r="43" spans="1:11" ht="30" x14ac:dyDescent="0.2">
      <c r="A43" s="1">
        <f t="shared" si="0"/>
        <v>42</v>
      </c>
      <c r="B43" s="1" t="s">
        <v>52</v>
      </c>
      <c r="C43" s="1" t="s">
        <v>97</v>
      </c>
      <c r="D43" s="1" t="s">
        <v>98</v>
      </c>
      <c r="E43" s="1" t="s">
        <v>37</v>
      </c>
      <c r="F43" s="1" t="s">
        <v>333</v>
      </c>
      <c r="G43" s="1" t="s">
        <v>333</v>
      </c>
      <c r="H43" s="1" t="s">
        <v>332</v>
      </c>
      <c r="I43" s="1" t="s">
        <v>332</v>
      </c>
      <c r="J43" s="1" t="s">
        <v>332</v>
      </c>
      <c r="K43" s="25"/>
    </row>
    <row r="44" spans="1:11" ht="60" x14ac:dyDescent="0.2">
      <c r="A44" s="1">
        <f t="shared" si="0"/>
        <v>43</v>
      </c>
      <c r="B44" s="1" t="s">
        <v>52</v>
      </c>
      <c r="C44" s="2" t="s">
        <v>99</v>
      </c>
      <c r="D44" s="1" t="s">
        <v>100</v>
      </c>
      <c r="E44" s="1" t="s">
        <v>37</v>
      </c>
      <c r="F44" s="1" t="s">
        <v>332</v>
      </c>
      <c r="G44" s="1" t="s">
        <v>388</v>
      </c>
      <c r="H44" s="1" t="s">
        <v>388</v>
      </c>
      <c r="I44" s="1" t="s">
        <v>332</v>
      </c>
      <c r="J44" s="1" t="s">
        <v>333</v>
      </c>
      <c r="K44" s="22" t="s">
        <v>392</v>
      </c>
    </row>
    <row r="45" spans="1:11" ht="30" x14ac:dyDescent="0.2">
      <c r="A45" s="1">
        <f t="shared" si="0"/>
        <v>44</v>
      </c>
      <c r="B45" s="1" t="s">
        <v>52</v>
      </c>
      <c r="C45" s="2" t="s">
        <v>101</v>
      </c>
      <c r="D45" s="1" t="s">
        <v>102</v>
      </c>
      <c r="E45" s="1" t="s">
        <v>37</v>
      </c>
      <c r="F45" s="1" t="s">
        <v>333</v>
      </c>
      <c r="G45" s="1" t="s">
        <v>333</v>
      </c>
      <c r="H45" s="1" t="s">
        <v>332</v>
      </c>
      <c r="I45" s="1" t="s">
        <v>332</v>
      </c>
      <c r="J45" s="1" t="s">
        <v>332</v>
      </c>
      <c r="K45" s="25"/>
    </row>
    <row r="46" spans="1:11" ht="45" x14ac:dyDescent="0.2">
      <c r="A46" s="1">
        <f t="shared" si="0"/>
        <v>45</v>
      </c>
      <c r="B46" s="1" t="s">
        <v>52</v>
      </c>
      <c r="C46" s="3" t="s">
        <v>103</v>
      </c>
      <c r="D46" s="1" t="s">
        <v>104</v>
      </c>
      <c r="E46" s="1" t="s">
        <v>105</v>
      </c>
      <c r="F46" s="1" t="s">
        <v>332</v>
      </c>
      <c r="G46" s="1" t="s">
        <v>388</v>
      </c>
      <c r="H46" s="1" t="s">
        <v>388</v>
      </c>
      <c r="I46" s="1" t="s">
        <v>332</v>
      </c>
      <c r="J46" s="1" t="s">
        <v>332</v>
      </c>
      <c r="K46" s="1" t="s">
        <v>393</v>
      </c>
    </row>
    <row r="47" spans="1:11" ht="45" x14ac:dyDescent="0.2">
      <c r="A47" s="1">
        <f t="shared" si="0"/>
        <v>46</v>
      </c>
      <c r="B47" s="1" t="s">
        <v>52</v>
      </c>
      <c r="C47" s="3" t="s">
        <v>394</v>
      </c>
      <c r="D47" s="1" t="s">
        <v>104</v>
      </c>
      <c r="E47" s="1" t="s">
        <v>105</v>
      </c>
      <c r="F47" s="1" t="s">
        <v>332</v>
      </c>
      <c r="G47" s="1" t="s">
        <v>387</v>
      </c>
      <c r="H47" s="1" t="s">
        <v>388</v>
      </c>
      <c r="I47" s="1" t="s">
        <v>332</v>
      </c>
      <c r="J47" s="1" t="s">
        <v>332</v>
      </c>
      <c r="K47" s="1" t="s">
        <v>393</v>
      </c>
    </row>
    <row r="48" spans="1:11" ht="45" x14ac:dyDescent="0.2">
      <c r="A48" s="1">
        <f t="shared" si="0"/>
        <v>47</v>
      </c>
      <c r="B48" s="1" t="s">
        <v>52</v>
      </c>
      <c r="C48" s="3" t="s">
        <v>107</v>
      </c>
      <c r="D48" s="1" t="s">
        <v>104</v>
      </c>
      <c r="E48" s="1" t="s">
        <v>105</v>
      </c>
      <c r="F48" s="1" t="s">
        <v>332</v>
      </c>
      <c r="G48" s="1" t="s">
        <v>387</v>
      </c>
      <c r="H48" s="1" t="s">
        <v>388</v>
      </c>
      <c r="I48" s="1" t="s">
        <v>332</v>
      </c>
      <c r="J48" s="1" t="s">
        <v>332</v>
      </c>
      <c r="K48" s="1" t="s">
        <v>393</v>
      </c>
    </row>
    <row r="49" spans="1:11" x14ac:dyDescent="0.2">
      <c r="A49" s="1">
        <f t="shared" si="0"/>
        <v>48</v>
      </c>
      <c r="B49" s="1" t="s">
        <v>52</v>
      </c>
      <c r="C49" s="3" t="s">
        <v>108</v>
      </c>
      <c r="D49" s="1" t="s">
        <v>104</v>
      </c>
      <c r="E49" s="1" t="s">
        <v>105</v>
      </c>
      <c r="F49" s="1" t="s">
        <v>333</v>
      </c>
      <c r="G49" s="1" t="s">
        <v>333</v>
      </c>
      <c r="H49" s="1" t="s">
        <v>332</v>
      </c>
      <c r="I49" s="1" t="s">
        <v>332</v>
      </c>
      <c r="J49" s="1" t="s">
        <v>332</v>
      </c>
      <c r="K49" s="25"/>
    </row>
    <row r="50" spans="1:11" x14ac:dyDescent="0.2">
      <c r="A50" s="1">
        <f t="shared" si="0"/>
        <v>49</v>
      </c>
      <c r="B50" s="1" t="s">
        <v>52</v>
      </c>
      <c r="C50" s="3" t="s">
        <v>109</v>
      </c>
      <c r="D50" s="1" t="s">
        <v>104</v>
      </c>
      <c r="E50" s="1" t="s">
        <v>105</v>
      </c>
      <c r="F50" s="1" t="s">
        <v>333</v>
      </c>
      <c r="G50" s="1" t="s">
        <v>333</v>
      </c>
      <c r="H50" s="1" t="s">
        <v>332</v>
      </c>
      <c r="I50" s="1" t="s">
        <v>332</v>
      </c>
      <c r="J50" s="1" t="s">
        <v>332</v>
      </c>
      <c r="K50" s="25"/>
    </row>
    <row r="51" spans="1:11" ht="45" x14ac:dyDescent="0.2">
      <c r="A51" s="1">
        <f t="shared" si="0"/>
        <v>50</v>
      </c>
      <c r="B51" s="1" t="s">
        <v>52</v>
      </c>
      <c r="C51" s="1" t="s">
        <v>110</v>
      </c>
      <c r="D51" s="1" t="s">
        <v>111</v>
      </c>
      <c r="E51" s="1" t="s">
        <v>37</v>
      </c>
      <c r="F51" s="1" t="s">
        <v>333</v>
      </c>
      <c r="G51" s="1" t="s">
        <v>333</v>
      </c>
      <c r="H51" s="1" t="s">
        <v>332</v>
      </c>
      <c r="I51" s="1" t="s">
        <v>332</v>
      </c>
      <c r="J51" s="1" t="s">
        <v>332</v>
      </c>
      <c r="K51" s="1" t="s">
        <v>395</v>
      </c>
    </row>
    <row r="52" spans="1:11" ht="30" x14ac:dyDescent="0.2">
      <c r="A52" s="1">
        <f t="shared" si="0"/>
        <v>51</v>
      </c>
      <c r="B52" s="1" t="s">
        <v>52</v>
      </c>
      <c r="C52" s="1" t="s">
        <v>112</v>
      </c>
      <c r="D52" s="1" t="s">
        <v>113</v>
      </c>
      <c r="E52" s="1" t="s">
        <v>37</v>
      </c>
      <c r="F52" s="1" t="s">
        <v>333</v>
      </c>
      <c r="G52" s="1" t="s">
        <v>333</v>
      </c>
      <c r="H52" s="1" t="s">
        <v>332</v>
      </c>
      <c r="I52" s="1" t="s">
        <v>332</v>
      </c>
      <c r="J52" s="1" t="s">
        <v>332</v>
      </c>
      <c r="K52" s="25"/>
    </row>
    <row r="53" spans="1:11" ht="90" x14ac:dyDescent="0.2">
      <c r="A53" s="1">
        <f t="shared" si="0"/>
        <v>52</v>
      </c>
      <c r="B53" s="1" t="s">
        <v>52</v>
      </c>
      <c r="C53" s="1" t="s">
        <v>114</v>
      </c>
      <c r="D53" s="1" t="s">
        <v>115</v>
      </c>
      <c r="E53" s="1" t="s">
        <v>37</v>
      </c>
      <c r="F53" s="1" t="s">
        <v>333</v>
      </c>
      <c r="G53" s="1" t="s">
        <v>333</v>
      </c>
      <c r="H53" s="1" t="s">
        <v>332</v>
      </c>
      <c r="I53" s="1" t="s">
        <v>332</v>
      </c>
      <c r="J53" s="1" t="s">
        <v>332</v>
      </c>
      <c r="K53" s="25"/>
    </row>
    <row r="54" spans="1:11" ht="30" x14ac:dyDescent="0.2">
      <c r="A54" s="1">
        <f t="shared" si="0"/>
        <v>53</v>
      </c>
      <c r="B54" s="1" t="s">
        <v>52</v>
      </c>
      <c r="C54" s="1" t="s">
        <v>116</v>
      </c>
      <c r="D54" s="1" t="s">
        <v>117</v>
      </c>
      <c r="E54" s="1" t="s">
        <v>37</v>
      </c>
      <c r="F54" s="1" t="s">
        <v>333</v>
      </c>
      <c r="G54" s="1" t="s">
        <v>333</v>
      </c>
      <c r="H54" s="1" t="s">
        <v>332</v>
      </c>
      <c r="I54" s="1" t="s">
        <v>332</v>
      </c>
      <c r="J54" s="1" t="s">
        <v>332</v>
      </c>
      <c r="K54" s="25"/>
    </row>
    <row r="55" spans="1:11" ht="30" x14ac:dyDescent="0.2">
      <c r="A55" s="1">
        <f t="shared" si="0"/>
        <v>54</v>
      </c>
      <c r="B55" s="1" t="s">
        <v>52</v>
      </c>
      <c r="C55" s="2" t="s">
        <v>118</v>
      </c>
      <c r="D55" s="1" t="s">
        <v>119</v>
      </c>
      <c r="E55" s="1" t="s">
        <v>37</v>
      </c>
      <c r="F55" s="1" t="s">
        <v>333</v>
      </c>
      <c r="G55" s="1" t="s">
        <v>333</v>
      </c>
      <c r="H55" s="1" t="s">
        <v>332</v>
      </c>
      <c r="I55" s="1" t="s">
        <v>332</v>
      </c>
      <c r="J55" s="1" t="s">
        <v>332</v>
      </c>
      <c r="K55" s="25"/>
    </row>
    <row r="56" spans="1:11" x14ac:dyDescent="0.2">
      <c r="A56" s="1">
        <f t="shared" si="0"/>
        <v>55</v>
      </c>
      <c r="B56" s="1" t="s">
        <v>52</v>
      </c>
      <c r="C56" s="3" t="s">
        <v>120</v>
      </c>
      <c r="D56" s="1" t="s">
        <v>104</v>
      </c>
      <c r="E56" s="1" t="s">
        <v>105</v>
      </c>
      <c r="F56" s="1" t="s">
        <v>333</v>
      </c>
      <c r="G56" s="1" t="s">
        <v>333</v>
      </c>
      <c r="H56" s="1" t="s">
        <v>332</v>
      </c>
      <c r="I56" s="1" t="s">
        <v>333</v>
      </c>
      <c r="J56" s="1" t="s">
        <v>332</v>
      </c>
      <c r="K56" s="25"/>
    </row>
    <row r="57" spans="1:11" ht="75" x14ac:dyDescent="0.2">
      <c r="A57" s="1">
        <f t="shared" si="0"/>
        <v>56</v>
      </c>
      <c r="B57" s="1" t="s">
        <v>52</v>
      </c>
      <c r="C57" s="1" t="s">
        <v>121</v>
      </c>
      <c r="D57" s="1" t="s">
        <v>122</v>
      </c>
      <c r="E57" s="1" t="s">
        <v>37</v>
      </c>
      <c r="F57" s="1" t="s">
        <v>333</v>
      </c>
      <c r="G57" s="1" t="s">
        <v>333</v>
      </c>
      <c r="H57" s="1" t="s">
        <v>332</v>
      </c>
      <c r="I57" s="1" t="s">
        <v>333</v>
      </c>
      <c r="J57" s="1" t="s">
        <v>332</v>
      </c>
      <c r="K57" s="25"/>
    </row>
    <row r="58" spans="1:11" ht="75" x14ac:dyDescent="0.2">
      <c r="A58" s="1">
        <f t="shared" si="0"/>
        <v>57</v>
      </c>
      <c r="B58" s="1" t="s">
        <v>52</v>
      </c>
      <c r="C58" s="1" t="s">
        <v>123</v>
      </c>
      <c r="D58" s="1" t="s">
        <v>124</v>
      </c>
      <c r="E58" s="1" t="s">
        <v>37</v>
      </c>
      <c r="F58" s="1" t="s">
        <v>333</v>
      </c>
      <c r="G58" s="1" t="s">
        <v>333</v>
      </c>
      <c r="H58" s="1" t="s">
        <v>332</v>
      </c>
      <c r="I58" s="1" t="s">
        <v>333</v>
      </c>
      <c r="J58" s="1" t="s">
        <v>332</v>
      </c>
      <c r="K58" s="25"/>
    </row>
    <row r="59" spans="1:11" ht="45" x14ac:dyDescent="0.2">
      <c r="A59" s="1">
        <f t="shared" si="0"/>
        <v>58</v>
      </c>
      <c r="B59" s="1" t="s">
        <v>52</v>
      </c>
      <c r="C59" s="1" t="s">
        <v>125</v>
      </c>
      <c r="D59" s="1" t="s">
        <v>126</v>
      </c>
      <c r="E59" s="1" t="s">
        <v>37</v>
      </c>
      <c r="F59" s="1" t="s">
        <v>333</v>
      </c>
      <c r="G59" s="1" t="s">
        <v>333</v>
      </c>
      <c r="H59" s="1" t="s">
        <v>332</v>
      </c>
      <c r="I59" s="1" t="s">
        <v>332</v>
      </c>
      <c r="J59" s="1" t="s">
        <v>332</v>
      </c>
      <c r="K59" s="25"/>
    </row>
    <row r="60" spans="1:11" ht="30" x14ac:dyDescent="0.2">
      <c r="A60" s="1">
        <f t="shared" si="0"/>
        <v>59</v>
      </c>
      <c r="B60" s="1" t="s">
        <v>52</v>
      </c>
      <c r="C60" s="1" t="s">
        <v>127</v>
      </c>
      <c r="D60" s="1" t="s">
        <v>128</v>
      </c>
      <c r="E60" s="1" t="s">
        <v>37</v>
      </c>
      <c r="F60" s="1" t="s">
        <v>333</v>
      </c>
      <c r="G60" s="1" t="s">
        <v>333</v>
      </c>
      <c r="H60" s="1" t="s">
        <v>332</v>
      </c>
      <c r="I60" s="1" t="s">
        <v>332</v>
      </c>
      <c r="J60" s="1" t="s">
        <v>332</v>
      </c>
      <c r="K60" s="25"/>
    </row>
    <row r="61" spans="1:11" ht="30" x14ac:dyDescent="0.2">
      <c r="A61" s="1">
        <f t="shared" si="0"/>
        <v>60</v>
      </c>
      <c r="B61" s="1" t="s">
        <v>52</v>
      </c>
      <c r="C61" s="1" t="s">
        <v>129</v>
      </c>
      <c r="D61" s="1" t="s">
        <v>130</v>
      </c>
      <c r="E61" s="1" t="s">
        <v>37</v>
      </c>
      <c r="F61" s="1" t="s">
        <v>333</v>
      </c>
      <c r="G61" s="1" t="s">
        <v>333</v>
      </c>
      <c r="H61" s="1" t="s">
        <v>332</v>
      </c>
      <c r="I61" s="1" t="s">
        <v>332</v>
      </c>
      <c r="J61" s="1" t="s">
        <v>332</v>
      </c>
      <c r="K61" s="25"/>
    </row>
    <row r="62" spans="1:11" x14ac:dyDescent="0.2">
      <c r="A62" s="1">
        <f t="shared" si="0"/>
        <v>61</v>
      </c>
      <c r="B62" s="1" t="s">
        <v>52</v>
      </c>
      <c r="C62" s="3" t="s">
        <v>131</v>
      </c>
      <c r="D62" s="1" t="s">
        <v>104</v>
      </c>
      <c r="E62" s="1" t="s">
        <v>105</v>
      </c>
      <c r="F62" s="1" t="s">
        <v>333</v>
      </c>
      <c r="G62" s="1" t="s">
        <v>333</v>
      </c>
      <c r="H62" s="1" t="s">
        <v>332</v>
      </c>
      <c r="I62" s="1" t="s">
        <v>332</v>
      </c>
      <c r="J62" s="1" t="s">
        <v>332</v>
      </c>
      <c r="K62" s="25"/>
    </row>
    <row r="63" spans="1:11" ht="60" x14ac:dyDescent="0.2">
      <c r="A63" s="1">
        <f t="shared" si="0"/>
        <v>62</v>
      </c>
      <c r="B63" s="1" t="s">
        <v>52</v>
      </c>
      <c r="C63" s="1" t="s">
        <v>132</v>
      </c>
      <c r="D63" s="1" t="s">
        <v>133</v>
      </c>
      <c r="E63" s="1" t="s">
        <v>37</v>
      </c>
      <c r="F63" s="1" t="s">
        <v>333</v>
      </c>
      <c r="G63" s="1" t="s">
        <v>333</v>
      </c>
      <c r="H63" s="1" t="s">
        <v>332</v>
      </c>
      <c r="I63" s="1" t="s">
        <v>333</v>
      </c>
      <c r="J63" s="1" t="s">
        <v>332</v>
      </c>
      <c r="K63" s="25"/>
    </row>
    <row r="64" spans="1:11" ht="90" x14ac:dyDescent="0.2">
      <c r="A64" s="1">
        <f t="shared" si="0"/>
        <v>63</v>
      </c>
      <c r="B64" s="1" t="s">
        <v>52</v>
      </c>
      <c r="C64" s="1" t="s">
        <v>134</v>
      </c>
      <c r="D64" s="1" t="s">
        <v>135</v>
      </c>
      <c r="E64" s="1" t="s">
        <v>37</v>
      </c>
      <c r="F64" s="1" t="s">
        <v>333</v>
      </c>
      <c r="G64" s="1" t="s">
        <v>333</v>
      </c>
      <c r="H64" s="1" t="s">
        <v>332</v>
      </c>
      <c r="I64" s="32" t="s">
        <v>333</v>
      </c>
      <c r="J64" s="1" t="s">
        <v>332</v>
      </c>
      <c r="K64" s="25"/>
    </row>
    <row r="65" spans="1:11" x14ac:dyDescent="0.2">
      <c r="A65" s="1">
        <f t="shared" si="0"/>
        <v>64</v>
      </c>
      <c r="B65" s="1" t="s">
        <v>52</v>
      </c>
      <c r="C65" s="6" t="s">
        <v>136</v>
      </c>
      <c r="D65" s="1" t="s">
        <v>104</v>
      </c>
      <c r="E65" s="1" t="s">
        <v>105</v>
      </c>
      <c r="F65" s="31" t="s">
        <v>333</v>
      </c>
      <c r="G65" s="31" t="s">
        <v>333</v>
      </c>
      <c r="H65" s="31" t="s">
        <v>332</v>
      </c>
      <c r="I65" s="1" t="s">
        <v>332</v>
      </c>
      <c r="J65" s="1" t="s">
        <v>332</v>
      </c>
      <c r="K65" s="25"/>
    </row>
    <row r="66" spans="1:11" x14ac:dyDescent="0.2">
      <c r="A66" s="1">
        <f t="shared" si="0"/>
        <v>65</v>
      </c>
      <c r="B66" s="1" t="s">
        <v>52</v>
      </c>
      <c r="C66" s="6" t="s">
        <v>137</v>
      </c>
      <c r="D66" s="1" t="s">
        <v>104</v>
      </c>
      <c r="E66" s="1" t="s">
        <v>105</v>
      </c>
      <c r="F66" s="31" t="s">
        <v>333</v>
      </c>
      <c r="G66" s="31" t="s">
        <v>333</v>
      </c>
      <c r="H66" s="31" t="s">
        <v>332</v>
      </c>
      <c r="I66" s="1" t="s">
        <v>332</v>
      </c>
      <c r="J66" s="1" t="s">
        <v>332</v>
      </c>
      <c r="K66" s="25"/>
    </row>
    <row r="67" spans="1:11" ht="45" x14ac:dyDescent="0.2">
      <c r="A67" s="1">
        <f t="shared" si="0"/>
        <v>66</v>
      </c>
      <c r="B67" s="1" t="s">
        <v>52</v>
      </c>
      <c r="C67" s="2" t="s">
        <v>138</v>
      </c>
      <c r="D67" s="1" t="s">
        <v>139</v>
      </c>
      <c r="E67" s="1" t="s">
        <v>37</v>
      </c>
      <c r="F67" s="31" t="s">
        <v>333</v>
      </c>
      <c r="G67" s="31" t="s">
        <v>333</v>
      </c>
      <c r="H67" s="31" t="s">
        <v>332</v>
      </c>
      <c r="I67" s="1" t="s">
        <v>332</v>
      </c>
      <c r="J67" s="1" t="s">
        <v>333</v>
      </c>
      <c r="K67" s="25"/>
    </row>
    <row r="68" spans="1:11" x14ac:dyDescent="0.2">
      <c r="A68" s="1">
        <f t="shared" ref="A68:A131" si="1">A67+1</f>
        <v>67</v>
      </c>
      <c r="B68" s="1" t="s">
        <v>52</v>
      </c>
      <c r="C68" s="3" t="s">
        <v>140</v>
      </c>
      <c r="D68" s="1" t="s">
        <v>104</v>
      </c>
      <c r="E68" s="1" t="s">
        <v>105</v>
      </c>
      <c r="F68" s="31" t="s">
        <v>333</v>
      </c>
      <c r="G68" s="31" t="s">
        <v>333</v>
      </c>
      <c r="H68" s="31" t="s">
        <v>332</v>
      </c>
      <c r="I68" s="1" t="s">
        <v>332</v>
      </c>
      <c r="J68" s="1" t="s">
        <v>332</v>
      </c>
      <c r="K68" s="25"/>
    </row>
    <row r="69" spans="1:11" x14ac:dyDescent="0.2">
      <c r="A69" s="1">
        <f t="shared" si="1"/>
        <v>68</v>
      </c>
      <c r="B69" s="1" t="s">
        <v>52</v>
      </c>
      <c r="C69" s="1" t="s">
        <v>141</v>
      </c>
      <c r="D69" s="1" t="s">
        <v>142</v>
      </c>
      <c r="E69" s="1" t="s">
        <v>105</v>
      </c>
      <c r="F69" s="31" t="s">
        <v>333</v>
      </c>
      <c r="G69" s="31" t="s">
        <v>333</v>
      </c>
      <c r="H69" s="31" t="s">
        <v>332</v>
      </c>
      <c r="I69" s="1" t="s">
        <v>332</v>
      </c>
      <c r="J69" s="1" t="s">
        <v>332</v>
      </c>
      <c r="K69" s="25"/>
    </row>
    <row r="70" spans="1:11" ht="60" x14ac:dyDescent="0.2">
      <c r="A70" s="1">
        <f t="shared" si="1"/>
        <v>69</v>
      </c>
      <c r="B70" s="1" t="s">
        <v>52</v>
      </c>
      <c r="C70" s="3" t="s">
        <v>143</v>
      </c>
      <c r="D70" s="1" t="s">
        <v>144</v>
      </c>
      <c r="E70" s="1" t="s">
        <v>105</v>
      </c>
      <c r="F70" s="31" t="s">
        <v>333</v>
      </c>
      <c r="G70" s="31" t="s">
        <v>333</v>
      </c>
      <c r="H70" s="31" t="s">
        <v>332</v>
      </c>
      <c r="I70" s="1" t="s">
        <v>332</v>
      </c>
      <c r="J70" s="1" t="s">
        <v>332</v>
      </c>
      <c r="K70" s="25"/>
    </row>
    <row r="71" spans="1:11" ht="30" x14ac:dyDescent="0.2">
      <c r="A71" s="1">
        <f t="shared" si="1"/>
        <v>70</v>
      </c>
      <c r="B71" s="1" t="s">
        <v>52</v>
      </c>
      <c r="C71" s="1" t="s">
        <v>145</v>
      </c>
      <c r="D71" s="1" t="s">
        <v>146</v>
      </c>
      <c r="E71" s="1" t="s">
        <v>147</v>
      </c>
      <c r="F71" s="31" t="s">
        <v>333</v>
      </c>
      <c r="G71" s="31" t="s">
        <v>333</v>
      </c>
      <c r="H71" s="31" t="s">
        <v>332</v>
      </c>
      <c r="I71" s="1" t="s">
        <v>332</v>
      </c>
      <c r="J71" s="1" t="s">
        <v>332</v>
      </c>
      <c r="K71" s="25"/>
    </row>
    <row r="72" spans="1:11" ht="45" x14ac:dyDescent="0.2">
      <c r="A72" s="1">
        <f t="shared" si="1"/>
        <v>71</v>
      </c>
      <c r="B72" s="1" t="s">
        <v>52</v>
      </c>
      <c r="C72" s="1" t="s">
        <v>148</v>
      </c>
      <c r="D72" s="1" t="s">
        <v>149</v>
      </c>
      <c r="E72" s="1" t="s">
        <v>88</v>
      </c>
      <c r="F72" s="21" t="s">
        <v>332</v>
      </c>
      <c r="G72" s="21" t="s">
        <v>332</v>
      </c>
      <c r="H72" s="21" t="s">
        <v>332</v>
      </c>
      <c r="I72" s="1" t="s">
        <v>332</v>
      </c>
      <c r="J72" s="1" t="s">
        <v>332</v>
      </c>
      <c r="K72" s="25"/>
    </row>
    <row r="73" spans="1:11" ht="60" x14ac:dyDescent="0.2">
      <c r="A73" s="1">
        <f t="shared" si="1"/>
        <v>72</v>
      </c>
      <c r="B73" s="1" t="s">
        <v>52</v>
      </c>
      <c r="C73" s="1" t="s">
        <v>150</v>
      </c>
      <c r="D73" s="1" t="s">
        <v>151</v>
      </c>
      <c r="E73" s="1" t="s">
        <v>37</v>
      </c>
      <c r="F73" s="31" t="s">
        <v>333</v>
      </c>
      <c r="G73" s="31" t="s">
        <v>333</v>
      </c>
      <c r="H73" s="31" t="s">
        <v>332</v>
      </c>
      <c r="I73" s="1" t="s">
        <v>332</v>
      </c>
      <c r="J73" s="32" t="s">
        <v>333</v>
      </c>
      <c r="K73" s="25"/>
    </row>
    <row r="74" spans="1:11" ht="30" x14ac:dyDescent="0.2">
      <c r="A74" s="1">
        <f t="shared" si="1"/>
        <v>73</v>
      </c>
      <c r="B74" s="1" t="s">
        <v>52</v>
      </c>
      <c r="C74" s="2" t="s">
        <v>152</v>
      </c>
      <c r="D74" s="1" t="s">
        <v>153</v>
      </c>
      <c r="E74" s="1" t="s">
        <v>37</v>
      </c>
      <c r="F74" s="31" t="s">
        <v>333</v>
      </c>
      <c r="G74" s="31" t="s">
        <v>333</v>
      </c>
      <c r="H74" s="31" t="s">
        <v>332</v>
      </c>
      <c r="I74" s="1" t="s">
        <v>332</v>
      </c>
      <c r="J74" s="32" t="s">
        <v>333</v>
      </c>
      <c r="K74" s="25"/>
    </row>
    <row r="75" spans="1:11" ht="60" x14ac:dyDescent="0.2">
      <c r="A75" s="1">
        <f t="shared" si="1"/>
        <v>74</v>
      </c>
      <c r="B75" s="1" t="s">
        <v>52</v>
      </c>
      <c r="C75" s="6" t="s">
        <v>154</v>
      </c>
      <c r="D75" s="1" t="s">
        <v>104</v>
      </c>
      <c r="E75" s="1" t="s">
        <v>105</v>
      </c>
      <c r="F75" s="31" t="s">
        <v>333</v>
      </c>
      <c r="G75" s="31" t="s">
        <v>333</v>
      </c>
      <c r="H75" s="31" t="s">
        <v>332</v>
      </c>
      <c r="I75" s="1" t="s">
        <v>332</v>
      </c>
      <c r="J75" s="1" t="s">
        <v>332</v>
      </c>
      <c r="K75" s="25"/>
    </row>
    <row r="76" spans="1:11" x14ac:dyDescent="0.2">
      <c r="A76" s="1">
        <f t="shared" si="1"/>
        <v>75</v>
      </c>
      <c r="B76" s="1" t="s">
        <v>52</v>
      </c>
      <c r="C76" s="6" t="s">
        <v>155</v>
      </c>
      <c r="D76" s="1" t="s">
        <v>104</v>
      </c>
      <c r="E76" s="1" t="s">
        <v>105</v>
      </c>
      <c r="F76" s="31" t="s">
        <v>333</v>
      </c>
      <c r="G76" s="31" t="s">
        <v>333</v>
      </c>
      <c r="H76" s="31" t="s">
        <v>332</v>
      </c>
      <c r="I76" s="1" t="s">
        <v>332</v>
      </c>
      <c r="J76" s="1" t="s">
        <v>332</v>
      </c>
      <c r="K76" s="25"/>
    </row>
    <row r="77" spans="1:11" ht="30" x14ac:dyDescent="0.2">
      <c r="A77" s="1">
        <f t="shared" si="1"/>
        <v>76</v>
      </c>
      <c r="B77" s="1" t="s">
        <v>52</v>
      </c>
      <c r="C77" s="2" t="s">
        <v>156</v>
      </c>
      <c r="D77" s="1" t="s">
        <v>157</v>
      </c>
      <c r="E77" s="1" t="s">
        <v>37</v>
      </c>
      <c r="F77" s="31" t="s">
        <v>333</v>
      </c>
      <c r="G77" s="31" t="s">
        <v>333</v>
      </c>
      <c r="H77" s="31" t="s">
        <v>332</v>
      </c>
      <c r="I77" s="1" t="s">
        <v>332</v>
      </c>
      <c r="J77" s="32" t="s">
        <v>333</v>
      </c>
      <c r="K77" s="25"/>
    </row>
    <row r="78" spans="1:11" ht="45" x14ac:dyDescent="0.2">
      <c r="A78" s="1">
        <f t="shared" si="1"/>
        <v>77</v>
      </c>
      <c r="B78" s="1" t="s">
        <v>52</v>
      </c>
      <c r="C78" s="2" t="s">
        <v>158</v>
      </c>
      <c r="D78" s="1" t="s">
        <v>159</v>
      </c>
      <c r="E78" s="1" t="s">
        <v>37</v>
      </c>
      <c r="F78" s="31" t="s">
        <v>333</v>
      </c>
      <c r="G78" s="31" t="s">
        <v>333</v>
      </c>
      <c r="H78" s="31" t="s">
        <v>332</v>
      </c>
      <c r="I78" s="1" t="s">
        <v>332</v>
      </c>
      <c r="J78" s="32" t="s">
        <v>333</v>
      </c>
      <c r="K78" s="25"/>
    </row>
    <row r="79" spans="1:11" x14ac:dyDescent="0.2">
      <c r="A79" s="1">
        <f t="shared" si="1"/>
        <v>78</v>
      </c>
      <c r="B79" s="1" t="s">
        <v>52</v>
      </c>
      <c r="C79" s="3" t="s">
        <v>160</v>
      </c>
      <c r="D79" s="1" t="s">
        <v>104</v>
      </c>
      <c r="E79" s="1" t="s">
        <v>105</v>
      </c>
      <c r="F79" s="31" t="s">
        <v>333</v>
      </c>
      <c r="G79" s="31" t="s">
        <v>333</v>
      </c>
      <c r="H79" s="31" t="s">
        <v>332</v>
      </c>
      <c r="I79" s="1" t="s">
        <v>332</v>
      </c>
      <c r="J79" s="32" t="s">
        <v>333</v>
      </c>
      <c r="K79" s="25"/>
    </row>
    <row r="80" spans="1:11" x14ac:dyDescent="0.2">
      <c r="A80" s="1">
        <f t="shared" si="1"/>
        <v>79</v>
      </c>
      <c r="B80" s="1" t="s">
        <v>52</v>
      </c>
      <c r="C80" s="3" t="s">
        <v>161</v>
      </c>
      <c r="D80" s="1" t="s">
        <v>162</v>
      </c>
      <c r="E80" s="1" t="s">
        <v>163</v>
      </c>
      <c r="F80" s="31" t="s">
        <v>333</v>
      </c>
      <c r="G80" s="31" t="s">
        <v>333</v>
      </c>
      <c r="H80" s="31" t="s">
        <v>332</v>
      </c>
      <c r="I80" s="1" t="s">
        <v>332</v>
      </c>
      <c r="J80" s="32" t="s">
        <v>333</v>
      </c>
      <c r="K80" s="25"/>
    </row>
    <row r="81" spans="1:11" x14ac:dyDescent="0.2">
      <c r="A81" s="1">
        <f t="shared" si="1"/>
        <v>80</v>
      </c>
      <c r="B81" s="1" t="s">
        <v>52</v>
      </c>
      <c r="C81" s="3" t="s">
        <v>164</v>
      </c>
      <c r="D81" s="1" t="s">
        <v>104</v>
      </c>
      <c r="E81" s="1" t="s">
        <v>105</v>
      </c>
      <c r="F81" s="31" t="s">
        <v>333</v>
      </c>
      <c r="G81" s="31" t="s">
        <v>333</v>
      </c>
      <c r="H81" s="31" t="s">
        <v>332</v>
      </c>
      <c r="I81" s="1" t="s">
        <v>333</v>
      </c>
      <c r="J81" s="1" t="s">
        <v>332</v>
      </c>
      <c r="K81" s="25"/>
    </row>
    <row r="82" spans="1:11" x14ac:dyDescent="0.2">
      <c r="A82" s="1">
        <f t="shared" si="1"/>
        <v>81</v>
      </c>
      <c r="B82" s="1" t="s">
        <v>52</v>
      </c>
      <c r="C82" s="3" t="s">
        <v>165</v>
      </c>
      <c r="D82" s="1" t="s">
        <v>104</v>
      </c>
      <c r="E82" s="1" t="s">
        <v>105</v>
      </c>
      <c r="F82" s="31" t="s">
        <v>333</v>
      </c>
      <c r="G82" s="31" t="s">
        <v>333</v>
      </c>
      <c r="H82" s="31" t="s">
        <v>332</v>
      </c>
      <c r="I82" s="1" t="s">
        <v>332</v>
      </c>
      <c r="J82" s="1" t="s">
        <v>332</v>
      </c>
      <c r="K82" s="25"/>
    </row>
    <row r="83" spans="1:11" x14ac:dyDescent="0.2">
      <c r="A83" s="1">
        <f t="shared" si="1"/>
        <v>82</v>
      </c>
      <c r="B83" s="1" t="s">
        <v>52</v>
      </c>
      <c r="C83" s="3" t="s">
        <v>166</v>
      </c>
      <c r="D83" s="1" t="s">
        <v>104</v>
      </c>
      <c r="E83" s="1" t="s">
        <v>105</v>
      </c>
      <c r="F83" s="31" t="s">
        <v>333</v>
      </c>
      <c r="G83" s="31" t="s">
        <v>333</v>
      </c>
      <c r="H83" s="31" t="s">
        <v>332</v>
      </c>
      <c r="I83" s="1" t="s">
        <v>332</v>
      </c>
      <c r="J83" s="1" t="s">
        <v>332</v>
      </c>
      <c r="K83" s="25"/>
    </row>
    <row r="84" spans="1:11" ht="30" x14ac:dyDescent="0.2">
      <c r="A84" s="1">
        <f t="shared" si="1"/>
        <v>83</v>
      </c>
      <c r="B84" s="1" t="s">
        <v>52</v>
      </c>
      <c r="C84" s="4" t="s">
        <v>167</v>
      </c>
      <c r="D84" s="1" t="s">
        <v>168</v>
      </c>
      <c r="E84" s="1" t="s">
        <v>37</v>
      </c>
      <c r="F84" s="31" t="s">
        <v>333</v>
      </c>
      <c r="G84" s="31" t="s">
        <v>333</v>
      </c>
      <c r="H84" s="31" t="s">
        <v>332</v>
      </c>
      <c r="I84" s="1" t="s">
        <v>332</v>
      </c>
      <c r="J84" s="1" t="s">
        <v>333</v>
      </c>
      <c r="K84" s="25"/>
    </row>
    <row r="85" spans="1:11" ht="30" x14ac:dyDescent="0.2">
      <c r="A85" s="1">
        <f t="shared" si="1"/>
        <v>84</v>
      </c>
      <c r="B85" s="1" t="s">
        <v>52</v>
      </c>
      <c r="C85" s="4" t="s">
        <v>169</v>
      </c>
      <c r="D85" s="1" t="s">
        <v>168</v>
      </c>
      <c r="E85" s="1" t="s">
        <v>37</v>
      </c>
      <c r="F85" s="31" t="s">
        <v>333</v>
      </c>
      <c r="G85" s="31" t="s">
        <v>333</v>
      </c>
      <c r="H85" s="31" t="s">
        <v>332</v>
      </c>
      <c r="I85" s="1" t="s">
        <v>333</v>
      </c>
      <c r="J85" s="1" t="s">
        <v>332</v>
      </c>
      <c r="K85" s="25"/>
    </row>
    <row r="86" spans="1:11" ht="30" x14ac:dyDescent="0.2">
      <c r="A86" s="1">
        <f t="shared" si="1"/>
        <v>85</v>
      </c>
      <c r="B86" s="1" t="s">
        <v>52</v>
      </c>
      <c r="C86" s="4" t="s">
        <v>170</v>
      </c>
      <c r="D86" s="1" t="s">
        <v>168</v>
      </c>
      <c r="E86" s="1" t="s">
        <v>37</v>
      </c>
      <c r="F86" s="31" t="s">
        <v>333</v>
      </c>
      <c r="G86" s="31" t="s">
        <v>333</v>
      </c>
      <c r="H86" s="31" t="s">
        <v>332</v>
      </c>
      <c r="I86" s="1" t="s">
        <v>332</v>
      </c>
      <c r="J86" s="1" t="s">
        <v>332</v>
      </c>
      <c r="K86" s="25"/>
    </row>
    <row r="87" spans="1:11" x14ac:dyDescent="0.2">
      <c r="A87" s="1">
        <f t="shared" si="1"/>
        <v>86</v>
      </c>
      <c r="B87" s="1" t="s">
        <v>52</v>
      </c>
      <c r="C87" s="1" t="s">
        <v>171</v>
      </c>
      <c r="D87" s="1" t="s">
        <v>104</v>
      </c>
      <c r="E87" s="1" t="s">
        <v>105</v>
      </c>
      <c r="F87" s="31" t="s">
        <v>333</v>
      </c>
      <c r="G87" s="31" t="s">
        <v>333</v>
      </c>
      <c r="H87" s="31" t="s">
        <v>332</v>
      </c>
      <c r="I87" s="1" t="s">
        <v>332</v>
      </c>
      <c r="J87" s="1" t="s">
        <v>332</v>
      </c>
      <c r="K87" s="25"/>
    </row>
    <row r="88" spans="1:11" x14ac:dyDescent="0.2">
      <c r="A88" s="1">
        <f t="shared" si="1"/>
        <v>87</v>
      </c>
      <c r="B88" s="1" t="s">
        <v>52</v>
      </c>
      <c r="C88" s="1" t="s">
        <v>172</v>
      </c>
      <c r="D88" s="1" t="s">
        <v>104</v>
      </c>
      <c r="E88" s="1" t="s">
        <v>105</v>
      </c>
      <c r="F88" s="31" t="s">
        <v>333</v>
      </c>
      <c r="G88" s="31" t="s">
        <v>333</v>
      </c>
      <c r="H88" s="31" t="s">
        <v>332</v>
      </c>
      <c r="I88" s="1" t="s">
        <v>332</v>
      </c>
      <c r="J88" s="1" t="s">
        <v>332</v>
      </c>
      <c r="K88" s="25"/>
    </row>
    <row r="89" spans="1:11" ht="30" x14ac:dyDescent="0.2">
      <c r="A89" s="1">
        <f t="shared" si="1"/>
        <v>88</v>
      </c>
      <c r="B89" s="1" t="s">
        <v>52</v>
      </c>
      <c r="C89" s="1" t="s">
        <v>173</v>
      </c>
      <c r="D89" s="1" t="s">
        <v>104</v>
      </c>
      <c r="E89" s="1" t="s">
        <v>105</v>
      </c>
      <c r="F89" s="31" t="s">
        <v>333</v>
      </c>
      <c r="G89" s="31" t="s">
        <v>333</v>
      </c>
      <c r="H89" s="31" t="s">
        <v>332</v>
      </c>
      <c r="I89" s="1" t="s">
        <v>332</v>
      </c>
      <c r="J89" s="1" t="s">
        <v>332</v>
      </c>
      <c r="K89" s="25"/>
    </row>
    <row r="90" spans="1:11" ht="60" x14ac:dyDescent="0.2">
      <c r="A90" s="1">
        <f t="shared" si="1"/>
        <v>89</v>
      </c>
      <c r="B90" s="1" t="s">
        <v>52</v>
      </c>
      <c r="C90" s="1" t="s">
        <v>174</v>
      </c>
      <c r="D90" s="1" t="s">
        <v>175</v>
      </c>
      <c r="E90" s="1" t="s">
        <v>37</v>
      </c>
      <c r="F90" s="31" t="s">
        <v>333</v>
      </c>
      <c r="G90" s="31" t="s">
        <v>333</v>
      </c>
      <c r="H90" s="31" t="s">
        <v>332</v>
      </c>
      <c r="I90" s="1" t="s">
        <v>332</v>
      </c>
      <c r="J90" s="32" t="s">
        <v>333</v>
      </c>
      <c r="K90" s="25"/>
    </row>
    <row r="91" spans="1:11" ht="60" x14ac:dyDescent="0.2">
      <c r="A91" s="1">
        <f t="shared" si="1"/>
        <v>90</v>
      </c>
      <c r="B91" s="1" t="s">
        <v>52</v>
      </c>
      <c r="C91" s="1" t="s">
        <v>176</v>
      </c>
      <c r="D91" s="1" t="s">
        <v>177</v>
      </c>
      <c r="E91" s="1" t="s">
        <v>105</v>
      </c>
      <c r="F91" s="31" t="s">
        <v>333</v>
      </c>
      <c r="G91" s="31" t="s">
        <v>333</v>
      </c>
      <c r="H91" s="31" t="s">
        <v>332</v>
      </c>
      <c r="I91" s="1" t="s">
        <v>332</v>
      </c>
      <c r="J91" s="1" t="s">
        <v>332</v>
      </c>
      <c r="K91" s="25"/>
    </row>
    <row r="92" spans="1:11" ht="30" x14ac:dyDescent="0.2">
      <c r="A92" s="1">
        <f t="shared" si="1"/>
        <v>91</v>
      </c>
      <c r="B92" s="1" t="s">
        <v>52</v>
      </c>
      <c r="C92" s="1" t="s">
        <v>178</v>
      </c>
      <c r="D92" s="1" t="s">
        <v>142</v>
      </c>
      <c r="E92" s="1" t="s">
        <v>105</v>
      </c>
      <c r="F92" s="31" t="s">
        <v>333</v>
      </c>
      <c r="G92" s="31" t="s">
        <v>333</v>
      </c>
      <c r="H92" s="31" t="s">
        <v>332</v>
      </c>
      <c r="I92" s="1" t="s">
        <v>332</v>
      </c>
      <c r="J92" s="32" t="s">
        <v>333</v>
      </c>
      <c r="K92" s="25"/>
    </row>
    <row r="93" spans="1:11" x14ac:dyDescent="0.2">
      <c r="A93" s="1">
        <f t="shared" si="1"/>
        <v>92</v>
      </c>
      <c r="B93" s="1" t="s">
        <v>52</v>
      </c>
      <c r="C93" s="1" t="s">
        <v>179</v>
      </c>
      <c r="D93" s="1" t="s">
        <v>104</v>
      </c>
      <c r="E93" s="1" t="s">
        <v>105</v>
      </c>
      <c r="F93" s="31" t="s">
        <v>333</v>
      </c>
      <c r="G93" s="31" t="s">
        <v>333</v>
      </c>
      <c r="H93" s="31" t="s">
        <v>332</v>
      </c>
      <c r="I93" s="1" t="s">
        <v>332</v>
      </c>
      <c r="J93" s="1" t="s">
        <v>332</v>
      </c>
      <c r="K93" s="25"/>
    </row>
    <row r="94" spans="1:11" x14ac:dyDescent="0.2">
      <c r="A94" s="1">
        <f t="shared" si="1"/>
        <v>93</v>
      </c>
      <c r="B94" s="1" t="s">
        <v>52</v>
      </c>
      <c r="C94" s="1" t="s">
        <v>180</v>
      </c>
      <c r="D94" s="1" t="s">
        <v>104</v>
      </c>
      <c r="E94" s="1" t="s">
        <v>105</v>
      </c>
      <c r="F94" s="31" t="s">
        <v>333</v>
      </c>
      <c r="G94" s="31" t="s">
        <v>333</v>
      </c>
      <c r="H94" s="31" t="s">
        <v>332</v>
      </c>
      <c r="I94" s="1" t="s">
        <v>332</v>
      </c>
      <c r="J94" s="1" t="s">
        <v>332</v>
      </c>
      <c r="K94" s="25"/>
    </row>
    <row r="95" spans="1:11" ht="120" x14ac:dyDescent="0.2">
      <c r="A95" s="1">
        <f t="shared" si="1"/>
        <v>94</v>
      </c>
      <c r="B95" s="1" t="s">
        <v>52</v>
      </c>
      <c r="C95" s="1" t="s">
        <v>181</v>
      </c>
      <c r="D95" s="1" t="s">
        <v>182</v>
      </c>
      <c r="E95" s="1" t="s">
        <v>37</v>
      </c>
      <c r="F95" s="31" t="s">
        <v>333</v>
      </c>
      <c r="G95" s="31" t="s">
        <v>333</v>
      </c>
      <c r="H95" s="31" t="s">
        <v>332</v>
      </c>
      <c r="I95" s="1" t="s">
        <v>332</v>
      </c>
      <c r="J95" s="1" t="s">
        <v>332</v>
      </c>
      <c r="K95" s="25"/>
    </row>
    <row r="96" spans="1:11" ht="60" x14ac:dyDescent="0.2">
      <c r="A96" s="1">
        <f t="shared" si="1"/>
        <v>95</v>
      </c>
      <c r="B96" s="1" t="s">
        <v>52</v>
      </c>
      <c r="C96" s="1" t="s">
        <v>183</v>
      </c>
      <c r="D96" s="1" t="s">
        <v>184</v>
      </c>
      <c r="E96" s="1" t="s">
        <v>37</v>
      </c>
      <c r="F96" s="31" t="s">
        <v>333</v>
      </c>
      <c r="G96" s="31" t="s">
        <v>333</v>
      </c>
      <c r="H96" s="31" t="s">
        <v>332</v>
      </c>
      <c r="I96" s="1" t="s">
        <v>332</v>
      </c>
      <c r="J96" s="1" t="s">
        <v>332</v>
      </c>
      <c r="K96" s="25"/>
    </row>
    <row r="97" spans="1:11" ht="60" x14ac:dyDescent="0.2">
      <c r="A97" s="1">
        <f t="shared" si="1"/>
        <v>96</v>
      </c>
      <c r="B97" s="1" t="s">
        <v>52</v>
      </c>
      <c r="C97" s="1" t="s">
        <v>185</v>
      </c>
      <c r="D97" s="1" t="s">
        <v>186</v>
      </c>
      <c r="E97" s="1" t="s">
        <v>37</v>
      </c>
      <c r="F97" s="31" t="s">
        <v>333</v>
      </c>
      <c r="G97" s="31" t="s">
        <v>333</v>
      </c>
      <c r="H97" s="31" t="s">
        <v>332</v>
      </c>
      <c r="I97" s="1" t="s">
        <v>332</v>
      </c>
      <c r="J97" s="1" t="s">
        <v>332</v>
      </c>
      <c r="K97" s="25"/>
    </row>
    <row r="98" spans="1:11" x14ac:dyDescent="0.2">
      <c r="A98" s="1">
        <f t="shared" si="1"/>
        <v>97</v>
      </c>
      <c r="B98" s="1" t="s">
        <v>52</v>
      </c>
      <c r="C98" s="1" t="s">
        <v>187</v>
      </c>
      <c r="D98" s="1" t="s">
        <v>188</v>
      </c>
      <c r="E98" s="1" t="s">
        <v>105</v>
      </c>
      <c r="F98" s="31" t="s">
        <v>333</v>
      </c>
      <c r="G98" s="31" t="s">
        <v>333</v>
      </c>
      <c r="H98" s="31" t="s">
        <v>332</v>
      </c>
      <c r="I98" s="1" t="s">
        <v>332</v>
      </c>
      <c r="J98" s="1" t="s">
        <v>332</v>
      </c>
      <c r="K98" s="25"/>
    </row>
    <row r="99" spans="1:11" ht="45" x14ac:dyDescent="0.2">
      <c r="A99" s="1">
        <f t="shared" si="1"/>
        <v>98</v>
      </c>
      <c r="B99" s="1" t="s">
        <v>52</v>
      </c>
      <c r="C99" s="1" t="s">
        <v>189</v>
      </c>
      <c r="D99" s="1" t="s">
        <v>190</v>
      </c>
      <c r="E99" s="1" t="s">
        <v>37</v>
      </c>
      <c r="F99" s="31" t="s">
        <v>333</v>
      </c>
      <c r="G99" s="31" t="s">
        <v>333</v>
      </c>
      <c r="H99" s="31" t="s">
        <v>332</v>
      </c>
      <c r="I99" s="1" t="s">
        <v>333</v>
      </c>
      <c r="J99" s="1" t="s">
        <v>332</v>
      </c>
      <c r="K99" s="25"/>
    </row>
    <row r="100" spans="1:11" ht="60" x14ac:dyDescent="0.2">
      <c r="A100" s="1">
        <f t="shared" si="1"/>
        <v>99</v>
      </c>
      <c r="B100" s="1" t="s">
        <v>52</v>
      </c>
      <c r="C100" s="1" t="s">
        <v>191</v>
      </c>
      <c r="D100" s="1" t="s">
        <v>192</v>
      </c>
      <c r="E100" s="1" t="s">
        <v>37</v>
      </c>
      <c r="F100" s="31" t="s">
        <v>333</v>
      </c>
      <c r="G100" s="31" t="s">
        <v>333</v>
      </c>
      <c r="H100" s="31" t="s">
        <v>332</v>
      </c>
      <c r="I100" s="1" t="s">
        <v>332</v>
      </c>
      <c r="J100" s="32" t="s">
        <v>333</v>
      </c>
      <c r="K100" s="25"/>
    </row>
    <row r="101" spans="1:11" ht="30" x14ac:dyDescent="0.2">
      <c r="A101" s="1">
        <f t="shared" si="1"/>
        <v>100</v>
      </c>
      <c r="B101" s="1" t="s">
        <v>52</v>
      </c>
      <c r="C101" s="1" t="s">
        <v>193</v>
      </c>
      <c r="D101" s="1" t="s">
        <v>194</v>
      </c>
      <c r="E101" s="1" t="s">
        <v>105</v>
      </c>
      <c r="F101" s="31" t="s">
        <v>333</v>
      </c>
      <c r="G101" s="31" t="s">
        <v>333</v>
      </c>
      <c r="H101" s="31" t="s">
        <v>332</v>
      </c>
      <c r="I101" s="1" t="s">
        <v>332</v>
      </c>
      <c r="J101" s="1" t="s">
        <v>333</v>
      </c>
      <c r="K101" s="25"/>
    </row>
    <row r="102" spans="1:11" ht="45" x14ac:dyDescent="0.2">
      <c r="A102" s="1">
        <f t="shared" si="1"/>
        <v>101</v>
      </c>
      <c r="B102" s="1" t="s">
        <v>195</v>
      </c>
      <c r="C102" s="1" t="s">
        <v>196</v>
      </c>
      <c r="D102" s="1" t="s">
        <v>197</v>
      </c>
      <c r="E102" s="1" t="s">
        <v>37</v>
      </c>
      <c r="F102" s="31" t="s">
        <v>333</v>
      </c>
      <c r="G102" s="31" t="s">
        <v>333</v>
      </c>
      <c r="H102" s="31" t="s">
        <v>332</v>
      </c>
      <c r="I102" s="1" t="s">
        <v>332</v>
      </c>
      <c r="J102" s="1" t="s">
        <v>332</v>
      </c>
      <c r="K102" s="25"/>
    </row>
    <row r="103" spans="1:11" ht="75" x14ac:dyDescent="0.2">
      <c r="A103" s="1">
        <f t="shared" si="1"/>
        <v>102</v>
      </c>
      <c r="B103" s="1" t="s">
        <v>195</v>
      </c>
      <c r="C103" s="1" t="s">
        <v>198</v>
      </c>
      <c r="D103" s="1" t="s">
        <v>199</v>
      </c>
      <c r="E103" s="1" t="s">
        <v>37</v>
      </c>
      <c r="F103" s="31" t="s">
        <v>333</v>
      </c>
      <c r="G103" s="31" t="s">
        <v>333</v>
      </c>
      <c r="H103" s="31" t="s">
        <v>332</v>
      </c>
      <c r="I103" s="1" t="s">
        <v>332</v>
      </c>
      <c r="J103" s="1" t="s">
        <v>332</v>
      </c>
      <c r="K103" s="25"/>
    </row>
    <row r="104" spans="1:11" ht="45" x14ac:dyDescent="0.2">
      <c r="A104" s="1">
        <f t="shared" si="1"/>
        <v>103</v>
      </c>
      <c r="B104" s="1" t="s">
        <v>195</v>
      </c>
      <c r="C104" s="2" t="s">
        <v>200</v>
      </c>
      <c r="D104" s="1" t="s">
        <v>201</v>
      </c>
      <c r="E104" s="1" t="s">
        <v>37</v>
      </c>
      <c r="F104" s="31" t="s">
        <v>333</v>
      </c>
      <c r="G104" s="31" t="s">
        <v>333</v>
      </c>
      <c r="H104" s="31" t="s">
        <v>332</v>
      </c>
      <c r="I104" s="1" t="s">
        <v>332</v>
      </c>
      <c r="J104" s="1" t="s">
        <v>332</v>
      </c>
      <c r="K104" s="25"/>
    </row>
    <row r="105" spans="1:11" ht="60" x14ac:dyDescent="0.2">
      <c r="A105" s="1">
        <f t="shared" si="1"/>
        <v>104</v>
      </c>
      <c r="B105" s="1" t="s">
        <v>195</v>
      </c>
      <c r="C105" s="1" t="s">
        <v>202</v>
      </c>
      <c r="D105" s="1" t="s">
        <v>203</v>
      </c>
      <c r="E105" s="1" t="s">
        <v>37</v>
      </c>
      <c r="F105" s="31" t="s">
        <v>333</v>
      </c>
      <c r="G105" s="31" t="s">
        <v>333</v>
      </c>
      <c r="H105" s="31" t="s">
        <v>332</v>
      </c>
      <c r="I105" s="1" t="s">
        <v>332</v>
      </c>
      <c r="J105" s="1" t="s">
        <v>332</v>
      </c>
      <c r="K105" s="25"/>
    </row>
    <row r="106" spans="1:11" ht="30" x14ac:dyDescent="0.2">
      <c r="A106" s="1">
        <f t="shared" si="1"/>
        <v>105</v>
      </c>
      <c r="B106" s="1" t="s">
        <v>195</v>
      </c>
      <c r="C106" s="1" t="s">
        <v>204</v>
      </c>
      <c r="D106" s="1" t="s">
        <v>205</v>
      </c>
      <c r="E106" s="1" t="s">
        <v>37</v>
      </c>
      <c r="F106" s="31" t="s">
        <v>333</v>
      </c>
      <c r="G106" s="31" t="s">
        <v>333</v>
      </c>
      <c r="H106" s="31" t="s">
        <v>332</v>
      </c>
      <c r="I106" s="1" t="s">
        <v>332</v>
      </c>
      <c r="J106" s="1" t="s">
        <v>332</v>
      </c>
      <c r="K106" s="25"/>
    </row>
    <row r="107" spans="1:11" ht="30" x14ac:dyDescent="0.2">
      <c r="A107" s="1">
        <f t="shared" si="1"/>
        <v>106</v>
      </c>
      <c r="B107" s="1" t="s">
        <v>195</v>
      </c>
      <c r="C107" s="1" t="s">
        <v>206</v>
      </c>
      <c r="D107" s="1" t="s">
        <v>168</v>
      </c>
      <c r="E107" s="1" t="s">
        <v>37</v>
      </c>
      <c r="F107" s="31" t="s">
        <v>333</v>
      </c>
      <c r="G107" s="31" t="s">
        <v>333</v>
      </c>
      <c r="H107" s="31" t="s">
        <v>332</v>
      </c>
      <c r="I107" s="1" t="s">
        <v>332</v>
      </c>
      <c r="J107" s="1" t="s">
        <v>332</v>
      </c>
      <c r="K107" s="25"/>
    </row>
    <row r="108" spans="1:11" ht="30" x14ac:dyDescent="0.2">
      <c r="A108" s="1">
        <f t="shared" si="1"/>
        <v>107</v>
      </c>
      <c r="B108" s="1" t="s">
        <v>195</v>
      </c>
      <c r="C108" s="1" t="s">
        <v>207</v>
      </c>
      <c r="D108" s="1" t="s">
        <v>168</v>
      </c>
      <c r="E108" s="1" t="s">
        <v>37</v>
      </c>
      <c r="F108" s="31" t="s">
        <v>333</v>
      </c>
      <c r="G108" s="31" t="s">
        <v>333</v>
      </c>
      <c r="H108" s="31" t="s">
        <v>332</v>
      </c>
      <c r="I108" s="1" t="s">
        <v>332</v>
      </c>
      <c r="J108" s="1" t="s">
        <v>332</v>
      </c>
      <c r="K108" s="25"/>
    </row>
    <row r="109" spans="1:11" ht="45" x14ac:dyDescent="0.2">
      <c r="A109" s="1">
        <f t="shared" si="1"/>
        <v>108</v>
      </c>
      <c r="B109" s="1" t="s">
        <v>195</v>
      </c>
      <c r="C109" s="1" t="s">
        <v>208</v>
      </c>
      <c r="D109" s="1" t="s">
        <v>209</v>
      </c>
      <c r="E109" s="1" t="s">
        <v>105</v>
      </c>
      <c r="F109" s="31" t="s">
        <v>333</v>
      </c>
      <c r="G109" s="31" t="s">
        <v>333</v>
      </c>
      <c r="H109" s="31" t="s">
        <v>332</v>
      </c>
      <c r="I109" s="1" t="s">
        <v>332</v>
      </c>
      <c r="J109" s="1" t="s">
        <v>333</v>
      </c>
      <c r="K109" s="25"/>
    </row>
    <row r="110" spans="1:11" ht="45" x14ac:dyDescent="0.2">
      <c r="A110" s="1">
        <f t="shared" si="1"/>
        <v>109</v>
      </c>
      <c r="B110" s="1" t="s">
        <v>195</v>
      </c>
      <c r="C110" s="1" t="s">
        <v>210</v>
      </c>
      <c r="D110" s="1" t="s">
        <v>211</v>
      </c>
      <c r="E110" s="1" t="s">
        <v>105</v>
      </c>
      <c r="F110" s="31" t="s">
        <v>333</v>
      </c>
      <c r="G110" s="31" t="s">
        <v>333</v>
      </c>
      <c r="H110" s="31" t="s">
        <v>332</v>
      </c>
      <c r="I110" s="1" t="s">
        <v>332</v>
      </c>
      <c r="J110" s="1" t="s">
        <v>332</v>
      </c>
      <c r="K110" s="25"/>
    </row>
    <row r="111" spans="1:11" ht="30" x14ac:dyDescent="0.2">
      <c r="A111" s="1">
        <f t="shared" si="1"/>
        <v>110</v>
      </c>
      <c r="B111" s="1" t="s">
        <v>195</v>
      </c>
      <c r="C111" s="1" t="s">
        <v>212</v>
      </c>
      <c r="D111" s="1" t="s">
        <v>213</v>
      </c>
      <c r="E111" s="1" t="s">
        <v>105</v>
      </c>
      <c r="F111" s="31" t="s">
        <v>333</v>
      </c>
      <c r="G111" s="31" t="s">
        <v>333</v>
      </c>
      <c r="H111" s="31" t="s">
        <v>332</v>
      </c>
      <c r="I111" s="1" t="s">
        <v>332</v>
      </c>
      <c r="J111" s="1" t="s">
        <v>332</v>
      </c>
      <c r="K111" s="25"/>
    </row>
    <row r="112" spans="1:11" ht="30" x14ac:dyDescent="0.2">
      <c r="A112" s="1">
        <f t="shared" si="1"/>
        <v>111</v>
      </c>
      <c r="B112" s="1" t="s">
        <v>195</v>
      </c>
      <c r="C112" s="2" t="s">
        <v>214</v>
      </c>
      <c r="D112" s="1" t="s">
        <v>168</v>
      </c>
      <c r="E112" s="1" t="s">
        <v>37</v>
      </c>
      <c r="F112" s="31" t="s">
        <v>333</v>
      </c>
      <c r="G112" s="31" t="s">
        <v>333</v>
      </c>
      <c r="H112" s="31" t="s">
        <v>332</v>
      </c>
      <c r="I112" s="1" t="s">
        <v>332</v>
      </c>
      <c r="J112" s="1" t="s">
        <v>332</v>
      </c>
      <c r="K112" s="25"/>
    </row>
    <row r="113" spans="1:11" ht="30" x14ac:dyDescent="0.2">
      <c r="A113" s="1">
        <f t="shared" si="1"/>
        <v>112</v>
      </c>
      <c r="B113" s="1" t="s">
        <v>195</v>
      </c>
      <c r="C113" s="2" t="s">
        <v>215</v>
      </c>
      <c r="D113" s="1" t="s">
        <v>168</v>
      </c>
      <c r="E113" s="1" t="s">
        <v>37</v>
      </c>
      <c r="F113" s="31" t="s">
        <v>333</v>
      </c>
      <c r="G113" s="31" t="s">
        <v>333</v>
      </c>
      <c r="H113" s="31" t="s">
        <v>332</v>
      </c>
      <c r="I113" s="1" t="s">
        <v>332</v>
      </c>
      <c r="J113" s="1" t="s">
        <v>332</v>
      </c>
      <c r="K113" s="25"/>
    </row>
    <row r="114" spans="1:11" ht="30" x14ac:dyDescent="0.2">
      <c r="A114" s="1">
        <f t="shared" si="1"/>
        <v>113</v>
      </c>
      <c r="B114" s="1" t="s">
        <v>195</v>
      </c>
      <c r="C114" s="2" t="s">
        <v>216</v>
      </c>
      <c r="D114" s="1" t="s">
        <v>168</v>
      </c>
      <c r="E114" s="1" t="s">
        <v>37</v>
      </c>
      <c r="F114" s="31" t="s">
        <v>333</v>
      </c>
      <c r="G114" s="31" t="s">
        <v>333</v>
      </c>
      <c r="H114" s="31" t="s">
        <v>332</v>
      </c>
      <c r="I114" s="1" t="s">
        <v>332</v>
      </c>
      <c r="J114" s="1" t="s">
        <v>332</v>
      </c>
      <c r="K114" s="25"/>
    </row>
    <row r="115" spans="1:11" ht="45" x14ac:dyDescent="0.2">
      <c r="A115" s="1">
        <f t="shared" si="1"/>
        <v>114</v>
      </c>
      <c r="B115" s="1" t="s">
        <v>195</v>
      </c>
      <c r="C115" s="1" t="s">
        <v>217</v>
      </c>
      <c r="D115" s="1" t="s">
        <v>218</v>
      </c>
      <c r="E115" s="1" t="s">
        <v>105</v>
      </c>
      <c r="F115" s="31" t="s">
        <v>333</v>
      </c>
      <c r="G115" s="31" t="s">
        <v>333</v>
      </c>
      <c r="H115" s="31" t="s">
        <v>332</v>
      </c>
      <c r="I115" s="1" t="s">
        <v>332</v>
      </c>
      <c r="J115" s="1" t="s">
        <v>332</v>
      </c>
      <c r="K115" s="25"/>
    </row>
    <row r="116" spans="1:11" ht="30" x14ac:dyDescent="0.2">
      <c r="A116" s="1">
        <f t="shared" si="1"/>
        <v>115</v>
      </c>
      <c r="B116" s="1" t="s">
        <v>195</v>
      </c>
      <c r="C116" s="1" t="s">
        <v>219</v>
      </c>
      <c r="D116" s="1" t="s">
        <v>168</v>
      </c>
      <c r="E116" s="1" t="s">
        <v>37</v>
      </c>
      <c r="F116" s="31" t="s">
        <v>333</v>
      </c>
      <c r="G116" s="31" t="s">
        <v>333</v>
      </c>
      <c r="H116" s="31" t="s">
        <v>332</v>
      </c>
      <c r="I116" s="1" t="s">
        <v>332</v>
      </c>
      <c r="J116" s="1" t="s">
        <v>332</v>
      </c>
      <c r="K116" s="25"/>
    </row>
    <row r="117" spans="1:11" ht="45" x14ac:dyDescent="0.2">
      <c r="A117" s="1">
        <f t="shared" si="1"/>
        <v>116</v>
      </c>
      <c r="B117" s="1" t="s">
        <v>195</v>
      </c>
      <c r="C117" s="1" t="s">
        <v>220</v>
      </c>
      <c r="D117" s="1" t="s">
        <v>221</v>
      </c>
      <c r="E117" s="1" t="s">
        <v>222</v>
      </c>
      <c r="F117" s="31" t="s">
        <v>333</v>
      </c>
      <c r="G117" s="31" t="s">
        <v>333</v>
      </c>
      <c r="H117" s="31" t="s">
        <v>332</v>
      </c>
      <c r="I117" s="1" t="s">
        <v>332</v>
      </c>
      <c r="J117" s="1" t="s">
        <v>333</v>
      </c>
      <c r="K117" s="25"/>
    </row>
    <row r="118" spans="1:11" ht="45" x14ac:dyDescent="0.2">
      <c r="A118" s="1">
        <f t="shared" si="1"/>
        <v>117</v>
      </c>
      <c r="B118" s="1" t="s">
        <v>195</v>
      </c>
      <c r="C118" s="1" t="s">
        <v>223</v>
      </c>
      <c r="D118" s="1" t="s">
        <v>224</v>
      </c>
      <c r="E118" s="1" t="s">
        <v>37</v>
      </c>
      <c r="F118" s="31" t="s">
        <v>333</v>
      </c>
      <c r="G118" s="31" t="s">
        <v>333</v>
      </c>
      <c r="H118" s="31" t="s">
        <v>332</v>
      </c>
      <c r="I118" s="1" t="s">
        <v>332</v>
      </c>
      <c r="J118" s="1" t="s">
        <v>332</v>
      </c>
      <c r="K118" s="25"/>
    </row>
    <row r="119" spans="1:11" ht="45" x14ac:dyDescent="0.2">
      <c r="A119" s="1">
        <f t="shared" si="1"/>
        <v>118</v>
      </c>
      <c r="B119" s="1" t="s">
        <v>195</v>
      </c>
      <c r="C119" s="1" t="s">
        <v>225</v>
      </c>
      <c r="D119" s="1" t="s">
        <v>226</v>
      </c>
      <c r="E119" s="1" t="s">
        <v>37</v>
      </c>
      <c r="F119" s="31" t="s">
        <v>333</v>
      </c>
      <c r="G119" s="31" t="s">
        <v>333</v>
      </c>
      <c r="H119" s="31" t="s">
        <v>332</v>
      </c>
      <c r="I119" s="1" t="s">
        <v>332</v>
      </c>
      <c r="J119" s="1" t="s">
        <v>333</v>
      </c>
      <c r="K119" s="25"/>
    </row>
    <row r="120" spans="1:11" ht="30" x14ac:dyDescent="0.2">
      <c r="A120" s="1">
        <f t="shared" si="1"/>
        <v>119</v>
      </c>
      <c r="B120" s="1" t="s">
        <v>195</v>
      </c>
      <c r="C120" s="1" t="s">
        <v>227</v>
      </c>
      <c r="D120" s="1" t="s">
        <v>228</v>
      </c>
      <c r="E120" s="1" t="s">
        <v>37</v>
      </c>
      <c r="F120" s="31" t="s">
        <v>333</v>
      </c>
      <c r="G120" s="31" t="s">
        <v>333</v>
      </c>
      <c r="H120" s="31" t="s">
        <v>332</v>
      </c>
      <c r="I120" s="1" t="s">
        <v>333</v>
      </c>
      <c r="J120" s="1" t="s">
        <v>332</v>
      </c>
      <c r="K120" s="25"/>
    </row>
    <row r="121" spans="1:11" ht="30" x14ac:dyDescent="0.2">
      <c r="A121" s="1">
        <f t="shared" si="1"/>
        <v>120</v>
      </c>
      <c r="B121" s="1" t="s">
        <v>195</v>
      </c>
      <c r="C121" s="1" t="s">
        <v>229</v>
      </c>
      <c r="D121" s="1" t="s">
        <v>230</v>
      </c>
      <c r="E121" s="1" t="s">
        <v>37</v>
      </c>
      <c r="F121" s="31" t="s">
        <v>333</v>
      </c>
      <c r="G121" s="31" t="s">
        <v>333</v>
      </c>
      <c r="H121" s="31" t="s">
        <v>332</v>
      </c>
      <c r="I121" s="1" t="s">
        <v>333</v>
      </c>
      <c r="J121" s="1" t="s">
        <v>332</v>
      </c>
      <c r="K121" s="25"/>
    </row>
    <row r="122" spans="1:11" ht="30" x14ac:dyDescent="0.2">
      <c r="A122" s="1">
        <f t="shared" si="1"/>
        <v>121</v>
      </c>
      <c r="B122" s="1" t="s">
        <v>195</v>
      </c>
      <c r="C122" s="1" t="s">
        <v>231</v>
      </c>
      <c r="D122" s="1" t="s">
        <v>232</v>
      </c>
      <c r="E122" s="1" t="s">
        <v>37</v>
      </c>
      <c r="F122" s="31" t="s">
        <v>333</v>
      </c>
      <c r="G122" s="31" t="s">
        <v>333</v>
      </c>
      <c r="H122" s="31" t="s">
        <v>332</v>
      </c>
      <c r="I122" s="1" t="s">
        <v>333</v>
      </c>
      <c r="J122" s="1" t="s">
        <v>332</v>
      </c>
      <c r="K122" s="25"/>
    </row>
    <row r="123" spans="1:11" ht="75" x14ac:dyDescent="0.2">
      <c r="A123" s="1">
        <f t="shared" si="1"/>
        <v>122</v>
      </c>
      <c r="B123" s="1" t="s">
        <v>195</v>
      </c>
      <c r="C123" s="1" t="s">
        <v>233</v>
      </c>
      <c r="D123" s="1" t="s">
        <v>234</v>
      </c>
      <c r="E123" s="1" t="s">
        <v>37</v>
      </c>
      <c r="F123" s="31" t="s">
        <v>333</v>
      </c>
      <c r="G123" s="31" t="s">
        <v>333</v>
      </c>
      <c r="H123" s="31" t="s">
        <v>332</v>
      </c>
      <c r="I123" s="1" t="s">
        <v>332</v>
      </c>
      <c r="J123" s="1" t="s">
        <v>332</v>
      </c>
      <c r="K123" s="25"/>
    </row>
    <row r="124" spans="1:11" ht="30" x14ac:dyDescent="0.2">
      <c r="A124" s="1">
        <f t="shared" si="1"/>
        <v>123</v>
      </c>
      <c r="B124" s="1" t="s">
        <v>195</v>
      </c>
      <c r="C124" s="1" t="s">
        <v>235</v>
      </c>
      <c r="D124" s="1" t="s">
        <v>168</v>
      </c>
      <c r="E124" s="1" t="s">
        <v>37</v>
      </c>
      <c r="F124" s="31" t="s">
        <v>333</v>
      </c>
      <c r="G124" s="31" t="s">
        <v>333</v>
      </c>
      <c r="H124" s="31" t="s">
        <v>332</v>
      </c>
      <c r="I124" s="1" t="s">
        <v>332</v>
      </c>
      <c r="J124" s="1" t="s">
        <v>332</v>
      </c>
      <c r="K124" s="25"/>
    </row>
    <row r="125" spans="1:11" ht="60" x14ac:dyDescent="0.2">
      <c r="A125" s="1">
        <f t="shared" si="1"/>
        <v>124</v>
      </c>
      <c r="B125" s="1" t="s">
        <v>195</v>
      </c>
      <c r="C125" s="1" t="s">
        <v>236</v>
      </c>
      <c r="D125" s="1" t="s">
        <v>237</v>
      </c>
      <c r="E125" s="1" t="s">
        <v>37</v>
      </c>
      <c r="F125" s="31" t="s">
        <v>333</v>
      </c>
      <c r="G125" s="31" t="s">
        <v>333</v>
      </c>
      <c r="H125" s="31" t="s">
        <v>332</v>
      </c>
      <c r="I125" s="1" t="s">
        <v>332</v>
      </c>
      <c r="J125" s="1" t="s">
        <v>332</v>
      </c>
      <c r="K125" s="25"/>
    </row>
    <row r="126" spans="1:11" ht="30" x14ac:dyDescent="0.2">
      <c r="A126" s="1">
        <f t="shared" si="1"/>
        <v>125</v>
      </c>
      <c r="B126" s="1" t="s">
        <v>195</v>
      </c>
      <c r="C126" s="1" t="s">
        <v>238</v>
      </c>
      <c r="D126" s="1" t="s">
        <v>239</v>
      </c>
      <c r="E126" s="1" t="s">
        <v>37</v>
      </c>
      <c r="F126" s="31" t="s">
        <v>333</v>
      </c>
      <c r="G126" s="31" t="s">
        <v>333</v>
      </c>
      <c r="H126" s="31" t="s">
        <v>332</v>
      </c>
      <c r="I126" s="1" t="s">
        <v>332</v>
      </c>
      <c r="J126" s="1" t="s">
        <v>332</v>
      </c>
      <c r="K126" s="25"/>
    </row>
    <row r="127" spans="1:11" ht="30" x14ac:dyDescent="0.2">
      <c r="A127" s="1">
        <f t="shared" si="1"/>
        <v>126</v>
      </c>
      <c r="B127" s="1" t="s">
        <v>195</v>
      </c>
      <c r="C127" s="1" t="s">
        <v>240</v>
      </c>
      <c r="D127" s="1" t="s">
        <v>241</v>
      </c>
      <c r="E127" s="1" t="s">
        <v>37</v>
      </c>
      <c r="F127" s="31" t="s">
        <v>333</v>
      </c>
      <c r="G127" s="31" t="s">
        <v>333</v>
      </c>
      <c r="H127" s="31" t="s">
        <v>332</v>
      </c>
      <c r="I127" s="1" t="s">
        <v>332</v>
      </c>
      <c r="J127" s="1" t="s">
        <v>332</v>
      </c>
      <c r="K127" s="25"/>
    </row>
    <row r="128" spans="1:11" ht="30" x14ac:dyDescent="0.2">
      <c r="A128" s="1">
        <f t="shared" si="1"/>
        <v>127</v>
      </c>
      <c r="B128" s="1" t="s">
        <v>195</v>
      </c>
      <c r="C128" s="1" t="s">
        <v>242</v>
      </c>
      <c r="D128" s="1" t="s">
        <v>243</v>
      </c>
      <c r="E128" s="1" t="s">
        <v>37</v>
      </c>
      <c r="F128" s="31" t="s">
        <v>333</v>
      </c>
      <c r="G128" s="31" t="s">
        <v>333</v>
      </c>
      <c r="H128" s="31" t="s">
        <v>332</v>
      </c>
      <c r="I128" s="1" t="s">
        <v>332</v>
      </c>
      <c r="J128" s="1" t="s">
        <v>332</v>
      </c>
      <c r="K128" s="25"/>
    </row>
    <row r="129" spans="1:11" ht="45" x14ac:dyDescent="0.2">
      <c r="A129" s="1">
        <f t="shared" si="1"/>
        <v>128</v>
      </c>
      <c r="B129" s="1" t="s">
        <v>195</v>
      </c>
      <c r="C129" s="2" t="s">
        <v>244</v>
      </c>
      <c r="D129" s="1" t="s">
        <v>245</v>
      </c>
      <c r="E129" s="1" t="s">
        <v>245</v>
      </c>
      <c r="F129" s="31" t="s">
        <v>333</v>
      </c>
      <c r="G129" s="31" t="s">
        <v>333</v>
      </c>
      <c r="H129" s="31" t="s">
        <v>332</v>
      </c>
      <c r="I129" s="1" t="s">
        <v>332</v>
      </c>
      <c r="J129" s="1" t="s">
        <v>332</v>
      </c>
      <c r="K129" s="25"/>
    </row>
    <row r="130" spans="1:11" ht="45" x14ac:dyDescent="0.2">
      <c r="A130" s="1">
        <f t="shared" si="1"/>
        <v>129</v>
      </c>
      <c r="B130" s="1" t="s">
        <v>195</v>
      </c>
      <c r="C130" s="1" t="s">
        <v>246</v>
      </c>
      <c r="D130" s="1" t="s">
        <v>245</v>
      </c>
      <c r="E130" s="1" t="s">
        <v>245</v>
      </c>
      <c r="F130" s="31" t="s">
        <v>333</v>
      </c>
      <c r="G130" s="31" t="s">
        <v>333</v>
      </c>
      <c r="H130" s="31" t="s">
        <v>332</v>
      </c>
      <c r="I130" s="1" t="s">
        <v>332</v>
      </c>
      <c r="J130" s="1" t="s">
        <v>332</v>
      </c>
      <c r="K130" s="25"/>
    </row>
    <row r="131" spans="1:11" ht="60" x14ac:dyDescent="0.2">
      <c r="A131" s="1">
        <f t="shared" si="1"/>
        <v>130</v>
      </c>
      <c r="B131" s="1" t="s">
        <v>195</v>
      </c>
      <c r="C131" s="1" t="s">
        <v>247</v>
      </c>
      <c r="D131" s="1" t="s">
        <v>248</v>
      </c>
      <c r="E131" s="1" t="s">
        <v>37</v>
      </c>
      <c r="F131" s="31" t="s">
        <v>333</v>
      </c>
      <c r="G131" s="31" t="s">
        <v>333</v>
      </c>
      <c r="H131" s="31" t="s">
        <v>332</v>
      </c>
      <c r="I131" s="1" t="s">
        <v>332</v>
      </c>
      <c r="J131" s="1" t="s">
        <v>332</v>
      </c>
      <c r="K131" s="25"/>
    </row>
    <row r="132" spans="1:11" ht="60" x14ac:dyDescent="0.2">
      <c r="A132" s="1">
        <f t="shared" ref="A132:A166" si="2">A131+1</f>
        <v>131</v>
      </c>
      <c r="B132" s="1" t="s">
        <v>195</v>
      </c>
      <c r="C132" s="2" t="s">
        <v>249</v>
      </c>
      <c r="D132" s="1" t="s">
        <v>250</v>
      </c>
      <c r="E132" s="1" t="s">
        <v>37</v>
      </c>
      <c r="F132" s="31" t="s">
        <v>333</v>
      </c>
      <c r="G132" s="31" t="s">
        <v>333</v>
      </c>
      <c r="H132" s="31" t="s">
        <v>332</v>
      </c>
      <c r="I132" s="1" t="s">
        <v>332</v>
      </c>
      <c r="J132" s="1" t="s">
        <v>332</v>
      </c>
      <c r="K132" s="25"/>
    </row>
    <row r="133" spans="1:11" ht="120" x14ac:dyDescent="0.2">
      <c r="A133" s="1">
        <f t="shared" si="2"/>
        <v>132</v>
      </c>
      <c r="B133" s="1" t="s">
        <v>195</v>
      </c>
      <c r="C133" s="2" t="s">
        <v>251</v>
      </c>
      <c r="D133" s="1" t="s">
        <v>252</v>
      </c>
      <c r="E133" s="1" t="s">
        <v>37</v>
      </c>
      <c r="F133" s="31" t="s">
        <v>333</v>
      </c>
      <c r="G133" s="31" t="s">
        <v>333</v>
      </c>
      <c r="H133" s="31" t="s">
        <v>332</v>
      </c>
      <c r="I133" s="1" t="s">
        <v>332</v>
      </c>
      <c r="J133" s="1" t="s">
        <v>333</v>
      </c>
      <c r="K133" s="25"/>
    </row>
    <row r="134" spans="1:11" ht="60" x14ac:dyDescent="0.2">
      <c r="A134" s="1">
        <f t="shared" si="2"/>
        <v>133</v>
      </c>
      <c r="B134" s="1" t="s">
        <v>195</v>
      </c>
      <c r="C134" s="2" t="s">
        <v>253</v>
      </c>
      <c r="D134" s="1" t="s">
        <v>254</v>
      </c>
      <c r="E134" s="1" t="s">
        <v>37</v>
      </c>
      <c r="F134" s="31" t="s">
        <v>333</v>
      </c>
      <c r="G134" s="31" t="s">
        <v>333</v>
      </c>
      <c r="H134" s="31" t="s">
        <v>332</v>
      </c>
      <c r="I134" s="1" t="s">
        <v>333</v>
      </c>
      <c r="J134" s="1" t="s">
        <v>332</v>
      </c>
      <c r="K134" s="25"/>
    </row>
    <row r="135" spans="1:11" ht="75" x14ac:dyDescent="0.2">
      <c r="A135" s="1">
        <f t="shared" si="2"/>
        <v>134</v>
      </c>
      <c r="B135" s="1" t="s">
        <v>195</v>
      </c>
      <c r="C135" s="2" t="s">
        <v>255</v>
      </c>
      <c r="D135" s="1" t="s">
        <v>256</v>
      </c>
      <c r="E135" s="1" t="s">
        <v>37</v>
      </c>
      <c r="F135" s="31" t="s">
        <v>333</v>
      </c>
      <c r="G135" s="31" t="s">
        <v>333</v>
      </c>
      <c r="H135" s="31" t="s">
        <v>332</v>
      </c>
      <c r="I135" s="1" t="s">
        <v>332</v>
      </c>
      <c r="J135" s="1" t="s">
        <v>333</v>
      </c>
      <c r="K135" s="25"/>
    </row>
    <row r="136" spans="1:11" x14ac:dyDescent="0.2">
      <c r="A136" s="1">
        <f t="shared" si="2"/>
        <v>135</v>
      </c>
      <c r="B136" s="1" t="s">
        <v>195</v>
      </c>
      <c r="C136" s="6" t="s">
        <v>257</v>
      </c>
      <c r="D136" s="1" t="s">
        <v>104</v>
      </c>
      <c r="E136" s="1" t="s">
        <v>105</v>
      </c>
      <c r="F136" s="31" t="s">
        <v>333</v>
      </c>
      <c r="G136" s="31" t="s">
        <v>333</v>
      </c>
      <c r="H136" s="31" t="s">
        <v>332</v>
      </c>
      <c r="I136" s="1" t="s">
        <v>332</v>
      </c>
      <c r="J136" s="1" t="s">
        <v>333</v>
      </c>
      <c r="K136" s="25"/>
    </row>
    <row r="137" spans="1:11" ht="30" x14ac:dyDescent="0.2">
      <c r="A137" s="1">
        <f t="shared" si="2"/>
        <v>136</v>
      </c>
      <c r="B137" s="1" t="s">
        <v>195</v>
      </c>
      <c r="C137" s="2" t="s">
        <v>258</v>
      </c>
      <c r="D137" s="1" t="s">
        <v>168</v>
      </c>
      <c r="E137" s="1" t="s">
        <v>37</v>
      </c>
      <c r="F137" s="31" t="s">
        <v>333</v>
      </c>
      <c r="G137" s="31" t="s">
        <v>333</v>
      </c>
      <c r="H137" s="31" t="s">
        <v>332</v>
      </c>
      <c r="I137" s="1" t="s">
        <v>332</v>
      </c>
      <c r="J137" s="1" t="s">
        <v>332</v>
      </c>
      <c r="K137" s="25"/>
    </row>
    <row r="138" spans="1:11" ht="60" x14ac:dyDescent="0.2">
      <c r="A138" s="1">
        <f t="shared" si="2"/>
        <v>137</v>
      </c>
      <c r="B138" s="1" t="s">
        <v>195</v>
      </c>
      <c r="C138" s="2" t="s">
        <v>259</v>
      </c>
      <c r="D138" s="1" t="s">
        <v>260</v>
      </c>
      <c r="E138" s="1" t="s">
        <v>37</v>
      </c>
      <c r="F138" s="31" t="s">
        <v>333</v>
      </c>
      <c r="G138" s="31" t="s">
        <v>333</v>
      </c>
      <c r="H138" s="31" t="s">
        <v>332</v>
      </c>
      <c r="I138" s="1" t="s">
        <v>332</v>
      </c>
      <c r="J138" s="1" t="s">
        <v>333</v>
      </c>
      <c r="K138" s="25"/>
    </row>
    <row r="139" spans="1:11" ht="60" x14ac:dyDescent="0.2">
      <c r="A139" s="1">
        <f t="shared" si="2"/>
        <v>138</v>
      </c>
      <c r="B139" s="1" t="s">
        <v>195</v>
      </c>
      <c r="C139" s="2" t="s">
        <v>261</v>
      </c>
      <c r="D139" s="1" t="s">
        <v>262</v>
      </c>
      <c r="E139" s="1" t="s">
        <v>37</v>
      </c>
      <c r="F139" s="31" t="s">
        <v>333</v>
      </c>
      <c r="G139" s="31" t="s">
        <v>333</v>
      </c>
      <c r="H139" s="31" t="s">
        <v>332</v>
      </c>
      <c r="I139" s="1" t="s">
        <v>333</v>
      </c>
      <c r="J139" s="1" t="s">
        <v>332</v>
      </c>
      <c r="K139" s="25"/>
    </row>
    <row r="140" spans="1:11" ht="90" x14ac:dyDescent="0.2">
      <c r="A140" s="1">
        <f t="shared" si="2"/>
        <v>139</v>
      </c>
      <c r="B140" s="1" t="s">
        <v>195</v>
      </c>
      <c r="C140" s="2" t="s">
        <v>263</v>
      </c>
      <c r="D140" s="1" t="s">
        <v>264</v>
      </c>
      <c r="E140" s="1" t="s">
        <v>37</v>
      </c>
      <c r="F140" s="31" t="s">
        <v>333</v>
      </c>
      <c r="G140" s="31" t="s">
        <v>333</v>
      </c>
      <c r="H140" s="31" t="s">
        <v>332</v>
      </c>
      <c r="I140" s="1" t="s">
        <v>332</v>
      </c>
      <c r="J140" s="1" t="s">
        <v>332</v>
      </c>
      <c r="K140" s="25"/>
    </row>
    <row r="141" spans="1:11" ht="60" x14ac:dyDescent="0.2">
      <c r="A141" s="1">
        <f t="shared" si="2"/>
        <v>140</v>
      </c>
      <c r="B141" s="1" t="s">
        <v>195</v>
      </c>
      <c r="C141" s="2" t="s">
        <v>265</v>
      </c>
      <c r="D141" s="1" t="s">
        <v>266</v>
      </c>
      <c r="E141" s="1" t="s">
        <v>37</v>
      </c>
      <c r="F141" s="31" t="s">
        <v>333</v>
      </c>
      <c r="G141" s="31" t="s">
        <v>333</v>
      </c>
      <c r="H141" s="31" t="s">
        <v>332</v>
      </c>
      <c r="I141" s="1" t="s">
        <v>332</v>
      </c>
      <c r="J141" s="1" t="s">
        <v>333</v>
      </c>
      <c r="K141" s="25"/>
    </row>
    <row r="142" spans="1:11" ht="60" x14ac:dyDescent="0.2">
      <c r="A142" s="1">
        <f t="shared" si="2"/>
        <v>141</v>
      </c>
      <c r="B142" s="1" t="s">
        <v>195</v>
      </c>
      <c r="C142" s="2" t="s">
        <v>267</v>
      </c>
      <c r="D142" s="1" t="s">
        <v>266</v>
      </c>
      <c r="E142" s="1" t="s">
        <v>37</v>
      </c>
      <c r="F142" s="31" t="s">
        <v>333</v>
      </c>
      <c r="G142" s="31" t="s">
        <v>333</v>
      </c>
      <c r="H142" s="31" t="s">
        <v>332</v>
      </c>
      <c r="I142" s="1" t="s">
        <v>332</v>
      </c>
      <c r="J142" s="1" t="s">
        <v>333</v>
      </c>
      <c r="K142" s="25"/>
    </row>
    <row r="143" spans="1:11" ht="60" x14ac:dyDescent="0.2">
      <c r="A143" s="1">
        <f t="shared" si="2"/>
        <v>142</v>
      </c>
      <c r="B143" s="1" t="s">
        <v>195</v>
      </c>
      <c r="C143" s="2" t="s">
        <v>268</v>
      </c>
      <c r="D143" s="1" t="s">
        <v>269</v>
      </c>
      <c r="E143" s="1" t="s">
        <v>37</v>
      </c>
      <c r="F143" s="31" t="s">
        <v>333</v>
      </c>
      <c r="G143" s="31" t="s">
        <v>333</v>
      </c>
      <c r="H143" s="31" t="s">
        <v>332</v>
      </c>
      <c r="I143" s="1" t="s">
        <v>332</v>
      </c>
      <c r="J143" s="1" t="s">
        <v>333</v>
      </c>
      <c r="K143" s="25"/>
    </row>
    <row r="144" spans="1:11" ht="60" x14ac:dyDescent="0.2">
      <c r="A144" s="1">
        <f t="shared" si="2"/>
        <v>143</v>
      </c>
      <c r="B144" s="1" t="s">
        <v>195</v>
      </c>
      <c r="C144" s="2" t="s">
        <v>270</v>
      </c>
      <c r="D144" s="1" t="s">
        <v>271</v>
      </c>
      <c r="E144" s="1" t="s">
        <v>37</v>
      </c>
      <c r="F144" s="31" t="s">
        <v>333</v>
      </c>
      <c r="G144" s="31" t="s">
        <v>333</v>
      </c>
      <c r="H144" s="31" t="s">
        <v>332</v>
      </c>
      <c r="I144" s="1" t="s">
        <v>332</v>
      </c>
      <c r="J144" s="1" t="s">
        <v>333</v>
      </c>
      <c r="K144" s="25"/>
    </row>
    <row r="145" spans="1:11" ht="60" x14ac:dyDescent="0.2">
      <c r="A145" s="1">
        <f t="shared" si="2"/>
        <v>144</v>
      </c>
      <c r="B145" s="1" t="s">
        <v>195</v>
      </c>
      <c r="C145" s="2" t="s">
        <v>272</v>
      </c>
      <c r="D145" s="1" t="s">
        <v>273</v>
      </c>
      <c r="E145" s="1" t="s">
        <v>37</v>
      </c>
      <c r="F145" s="31" t="s">
        <v>333</v>
      </c>
      <c r="G145" s="31" t="s">
        <v>333</v>
      </c>
      <c r="H145" s="31" t="s">
        <v>332</v>
      </c>
      <c r="I145" s="1" t="s">
        <v>332</v>
      </c>
      <c r="J145" s="1" t="s">
        <v>333</v>
      </c>
      <c r="K145" s="25"/>
    </row>
    <row r="146" spans="1:11" ht="30" x14ac:dyDescent="0.2">
      <c r="A146" s="1">
        <f t="shared" si="2"/>
        <v>145</v>
      </c>
      <c r="B146" s="1" t="s">
        <v>195</v>
      </c>
      <c r="C146" s="6" t="s">
        <v>274</v>
      </c>
      <c r="D146" s="1" t="s">
        <v>104</v>
      </c>
      <c r="E146" s="1" t="s">
        <v>105</v>
      </c>
      <c r="F146" s="31" t="s">
        <v>333</v>
      </c>
      <c r="G146" s="31" t="s">
        <v>333</v>
      </c>
      <c r="H146" s="31" t="s">
        <v>332</v>
      </c>
      <c r="I146" s="1" t="s">
        <v>333</v>
      </c>
      <c r="J146" s="1" t="s">
        <v>332</v>
      </c>
      <c r="K146" s="25"/>
    </row>
    <row r="147" spans="1:11" ht="30" x14ac:dyDescent="0.2">
      <c r="A147" s="1">
        <f t="shared" si="2"/>
        <v>146</v>
      </c>
      <c r="B147" s="1" t="s">
        <v>195</v>
      </c>
      <c r="C147" s="1" t="s">
        <v>275</v>
      </c>
      <c r="D147" s="1" t="s">
        <v>168</v>
      </c>
      <c r="E147" s="1" t="s">
        <v>37</v>
      </c>
      <c r="F147" s="31" t="s">
        <v>333</v>
      </c>
      <c r="G147" s="31" t="s">
        <v>333</v>
      </c>
      <c r="H147" s="31" t="s">
        <v>332</v>
      </c>
      <c r="I147" s="1" t="s">
        <v>332</v>
      </c>
      <c r="J147" s="1" t="s">
        <v>332</v>
      </c>
      <c r="K147" s="25"/>
    </row>
    <row r="148" spans="1:11" ht="30" x14ac:dyDescent="0.2">
      <c r="A148" s="1">
        <f t="shared" si="2"/>
        <v>147</v>
      </c>
      <c r="B148" s="1" t="s">
        <v>195</v>
      </c>
      <c r="C148" s="1" t="s">
        <v>276</v>
      </c>
      <c r="D148" s="1" t="s">
        <v>168</v>
      </c>
      <c r="E148" s="1" t="s">
        <v>37</v>
      </c>
      <c r="F148" s="31" t="s">
        <v>333</v>
      </c>
      <c r="G148" s="31" t="s">
        <v>333</v>
      </c>
      <c r="H148" s="31" t="s">
        <v>332</v>
      </c>
      <c r="I148" s="1" t="s">
        <v>332</v>
      </c>
      <c r="J148" s="1" t="s">
        <v>332</v>
      </c>
      <c r="K148" s="25"/>
    </row>
    <row r="149" spans="1:11" ht="30" x14ac:dyDescent="0.2">
      <c r="A149" s="1">
        <f t="shared" si="2"/>
        <v>148</v>
      </c>
      <c r="B149" s="1" t="s">
        <v>195</v>
      </c>
      <c r="C149" s="1" t="s">
        <v>277</v>
      </c>
      <c r="D149" s="1" t="s">
        <v>168</v>
      </c>
      <c r="E149" s="1" t="s">
        <v>37</v>
      </c>
      <c r="F149" s="31" t="s">
        <v>333</v>
      </c>
      <c r="G149" s="31" t="s">
        <v>333</v>
      </c>
      <c r="H149" s="31" t="s">
        <v>332</v>
      </c>
      <c r="I149" s="1" t="s">
        <v>332</v>
      </c>
      <c r="J149" s="1" t="s">
        <v>332</v>
      </c>
      <c r="K149" s="25"/>
    </row>
    <row r="150" spans="1:11" ht="30" x14ac:dyDescent="0.2">
      <c r="A150" s="1">
        <f t="shared" si="2"/>
        <v>149</v>
      </c>
      <c r="B150" s="1" t="s">
        <v>195</v>
      </c>
      <c r="C150" s="1" t="s">
        <v>278</v>
      </c>
      <c r="D150" s="1" t="s">
        <v>168</v>
      </c>
      <c r="E150" s="1" t="s">
        <v>37</v>
      </c>
      <c r="F150" s="31" t="s">
        <v>333</v>
      </c>
      <c r="G150" s="31" t="s">
        <v>333</v>
      </c>
      <c r="H150" s="31" t="s">
        <v>332</v>
      </c>
      <c r="I150" s="1" t="s">
        <v>332</v>
      </c>
      <c r="J150" s="1" t="s">
        <v>332</v>
      </c>
      <c r="K150" s="25"/>
    </row>
    <row r="151" spans="1:11" x14ac:dyDescent="0.2">
      <c r="A151" s="1">
        <f t="shared" si="2"/>
        <v>150</v>
      </c>
      <c r="B151" s="1" t="s">
        <v>195</v>
      </c>
      <c r="C151" s="1" t="s">
        <v>279</v>
      </c>
      <c r="D151" s="1" t="s">
        <v>280</v>
      </c>
      <c r="E151" s="1" t="s">
        <v>105</v>
      </c>
      <c r="F151" s="31" t="s">
        <v>333</v>
      </c>
      <c r="G151" s="31" t="s">
        <v>333</v>
      </c>
      <c r="H151" s="31" t="s">
        <v>332</v>
      </c>
      <c r="I151" s="1" t="s">
        <v>332</v>
      </c>
      <c r="J151" s="1" t="s">
        <v>332</v>
      </c>
      <c r="K151" s="25"/>
    </row>
    <row r="152" spans="1:11" ht="45" x14ac:dyDescent="0.2">
      <c r="A152" s="1">
        <f t="shared" si="2"/>
        <v>151</v>
      </c>
      <c r="B152" s="1" t="s">
        <v>195</v>
      </c>
      <c r="C152" s="1" t="s">
        <v>281</v>
      </c>
      <c r="D152" s="1" t="s">
        <v>282</v>
      </c>
      <c r="E152" s="1" t="s">
        <v>37</v>
      </c>
      <c r="F152" s="31" t="s">
        <v>333</v>
      </c>
      <c r="G152" s="31" t="s">
        <v>333</v>
      </c>
      <c r="H152" s="31" t="s">
        <v>332</v>
      </c>
      <c r="I152" s="1" t="s">
        <v>332</v>
      </c>
      <c r="J152" s="1" t="s">
        <v>332</v>
      </c>
      <c r="K152" s="25"/>
    </row>
    <row r="153" spans="1:11" ht="30" x14ac:dyDescent="0.2">
      <c r="A153" s="1">
        <f t="shared" si="2"/>
        <v>152</v>
      </c>
      <c r="B153" s="1" t="s">
        <v>195</v>
      </c>
      <c r="C153" s="1" t="s">
        <v>283</v>
      </c>
      <c r="D153" s="1" t="s">
        <v>168</v>
      </c>
      <c r="E153" s="1" t="s">
        <v>37</v>
      </c>
      <c r="F153" s="31" t="s">
        <v>333</v>
      </c>
      <c r="G153" s="31" t="s">
        <v>333</v>
      </c>
      <c r="H153" s="31" t="s">
        <v>332</v>
      </c>
      <c r="I153" s="1" t="s">
        <v>332</v>
      </c>
      <c r="J153" s="1" t="s">
        <v>332</v>
      </c>
      <c r="K153" s="25"/>
    </row>
    <row r="154" spans="1:11" ht="30" x14ac:dyDescent="0.2">
      <c r="A154" s="1">
        <f t="shared" si="2"/>
        <v>153</v>
      </c>
      <c r="B154" s="1" t="s">
        <v>195</v>
      </c>
      <c r="C154" s="1" t="s">
        <v>284</v>
      </c>
      <c r="D154" s="1" t="s">
        <v>285</v>
      </c>
      <c r="E154" s="1" t="s">
        <v>105</v>
      </c>
      <c r="F154" s="31" t="s">
        <v>333</v>
      </c>
      <c r="G154" s="31" t="s">
        <v>333</v>
      </c>
      <c r="H154" s="31" t="s">
        <v>332</v>
      </c>
      <c r="I154" s="1" t="s">
        <v>332</v>
      </c>
      <c r="J154" s="1" t="s">
        <v>332</v>
      </c>
      <c r="K154" s="25"/>
    </row>
    <row r="155" spans="1:11" ht="30" x14ac:dyDescent="0.2">
      <c r="A155" s="1">
        <f t="shared" si="2"/>
        <v>154</v>
      </c>
      <c r="B155" s="1" t="s">
        <v>195</v>
      </c>
      <c r="C155" s="1" t="s">
        <v>286</v>
      </c>
      <c r="D155" s="1" t="s">
        <v>287</v>
      </c>
      <c r="E155" s="1" t="s">
        <v>37</v>
      </c>
      <c r="F155" s="31" t="s">
        <v>333</v>
      </c>
      <c r="G155" s="31" t="s">
        <v>333</v>
      </c>
      <c r="H155" s="31" t="s">
        <v>332</v>
      </c>
      <c r="I155" s="1" t="s">
        <v>332</v>
      </c>
      <c r="J155" s="1" t="s">
        <v>332</v>
      </c>
      <c r="K155" s="25"/>
    </row>
    <row r="156" spans="1:11" ht="30" x14ac:dyDescent="0.2">
      <c r="A156" s="1">
        <f t="shared" si="2"/>
        <v>155</v>
      </c>
      <c r="B156" s="1" t="s">
        <v>195</v>
      </c>
      <c r="C156" s="1" t="s">
        <v>288</v>
      </c>
      <c r="D156" s="1" t="s">
        <v>168</v>
      </c>
      <c r="E156" s="1" t="s">
        <v>37</v>
      </c>
      <c r="F156" s="1" t="s">
        <v>333</v>
      </c>
      <c r="G156" s="1" t="s">
        <v>333</v>
      </c>
      <c r="H156" s="1" t="s">
        <v>332</v>
      </c>
      <c r="I156" s="1" t="s">
        <v>332</v>
      </c>
      <c r="J156" s="1" t="s">
        <v>332</v>
      </c>
      <c r="K156" s="25"/>
    </row>
    <row r="157" spans="1:11" ht="30" x14ac:dyDescent="0.2">
      <c r="A157" s="1">
        <f t="shared" si="2"/>
        <v>156</v>
      </c>
      <c r="B157" s="1" t="s">
        <v>195</v>
      </c>
      <c r="C157" s="1" t="s">
        <v>289</v>
      </c>
      <c r="D157" s="1" t="s">
        <v>168</v>
      </c>
      <c r="E157" s="1" t="s">
        <v>37</v>
      </c>
      <c r="F157" s="1" t="s">
        <v>333</v>
      </c>
      <c r="G157" s="1" t="s">
        <v>333</v>
      </c>
      <c r="H157" s="1" t="s">
        <v>332</v>
      </c>
      <c r="I157" s="1" t="s">
        <v>332</v>
      </c>
      <c r="J157" s="1" t="s">
        <v>332</v>
      </c>
      <c r="K157" s="25"/>
    </row>
    <row r="158" spans="1:11" ht="30" x14ac:dyDescent="0.2">
      <c r="A158" s="1">
        <f t="shared" si="2"/>
        <v>157</v>
      </c>
      <c r="B158" s="1" t="s">
        <v>195</v>
      </c>
      <c r="C158" s="1" t="s">
        <v>290</v>
      </c>
      <c r="D158" s="1" t="s">
        <v>168</v>
      </c>
      <c r="E158" s="1" t="s">
        <v>37</v>
      </c>
      <c r="F158" s="1" t="s">
        <v>333</v>
      </c>
      <c r="G158" s="1" t="s">
        <v>333</v>
      </c>
      <c r="H158" s="1" t="s">
        <v>332</v>
      </c>
      <c r="I158" s="1" t="s">
        <v>332</v>
      </c>
      <c r="J158" s="1" t="s">
        <v>332</v>
      </c>
      <c r="K158" s="25"/>
    </row>
    <row r="159" spans="1:11" ht="45" x14ac:dyDescent="0.2">
      <c r="A159" s="1">
        <f t="shared" si="2"/>
        <v>158</v>
      </c>
      <c r="B159" s="1" t="s">
        <v>195</v>
      </c>
      <c r="C159" s="1" t="s">
        <v>291</v>
      </c>
      <c r="D159" s="1" t="s">
        <v>292</v>
      </c>
      <c r="E159" s="1" t="s">
        <v>37</v>
      </c>
      <c r="F159" s="1" t="s">
        <v>333</v>
      </c>
      <c r="G159" s="1" t="s">
        <v>333</v>
      </c>
      <c r="H159" s="1" t="s">
        <v>332</v>
      </c>
      <c r="I159" s="1" t="s">
        <v>332</v>
      </c>
      <c r="J159" s="1" t="s">
        <v>332</v>
      </c>
      <c r="K159" s="25"/>
    </row>
    <row r="160" spans="1:11" ht="60" x14ac:dyDescent="0.2">
      <c r="A160" s="1">
        <f t="shared" si="2"/>
        <v>159</v>
      </c>
      <c r="B160" s="1" t="s">
        <v>293</v>
      </c>
      <c r="C160" s="1" t="s">
        <v>294</v>
      </c>
      <c r="D160" s="1" t="s">
        <v>295</v>
      </c>
      <c r="E160" s="1" t="s">
        <v>37</v>
      </c>
      <c r="F160" s="1" t="s">
        <v>333</v>
      </c>
      <c r="G160" s="1" t="s">
        <v>333</v>
      </c>
      <c r="H160" s="1" t="s">
        <v>332</v>
      </c>
      <c r="I160" s="1" t="s">
        <v>332</v>
      </c>
      <c r="J160" s="1" t="s">
        <v>332</v>
      </c>
      <c r="K160" s="25"/>
    </row>
    <row r="161" spans="1:11" x14ac:dyDescent="0.2">
      <c r="A161" s="1">
        <f t="shared" si="2"/>
        <v>160</v>
      </c>
      <c r="B161" s="1" t="s">
        <v>293</v>
      </c>
      <c r="C161" s="1" t="s">
        <v>296</v>
      </c>
      <c r="D161" s="1" t="s">
        <v>297</v>
      </c>
      <c r="E161" s="1" t="s">
        <v>37</v>
      </c>
      <c r="F161" s="1" t="s">
        <v>333</v>
      </c>
      <c r="G161" s="1" t="s">
        <v>333</v>
      </c>
      <c r="H161" s="1" t="s">
        <v>332</v>
      </c>
      <c r="I161" s="1" t="s">
        <v>333</v>
      </c>
      <c r="J161" s="1" t="s">
        <v>332</v>
      </c>
      <c r="K161" s="25"/>
    </row>
    <row r="162" spans="1:11" ht="60" x14ac:dyDescent="0.2">
      <c r="A162" s="1">
        <f t="shared" si="2"/>
        <v>161</v>
      </c>
      <c r="B162" s="1" t="s">
        <v>293</v>
      </c>
      <c r="C162" s="1" t="s">
        <v>298</v>
      </c>
      <c r="D162" s="1" t="s">
        <v>299</v>
      </c>
      <c r="E162" s="1" t="s">
        <v>37</v>
      </c>
      <c r="F162" s="1" t="s">
        <v>333</v>
      </c>
      <c r="G162" s="1" t="s">
        <v>333</v>
      </c>
      <c r="H162" s="1" t="s">
        <v>332</v>
      </c>
      <c r="I162" s="1" t="s">
        <v>333</v>
      </c>
      <c r="J162" s="1" t="s">
        <v>332</v>
      </c>
      <c r="K162" s="25"/>
    </row>
    <row r="163" spans="1:11" ht="45" x14ac:dyDescent="0.2">
      <c r="A163" s="1">
        <f t="shared" si="2"/>
        <v>162</v>
      </c>
      <c r="B163" s="20" t="s">
        <v>195</v>
      </c>
      <c r="C163" s="1" t="s">
        <v>335</v>
      </c>
      <c r="D163" s="1" t="s">
        <v>339</v>
      </c>
      <c r="E163" s="1" t="s">
        <v>37</v>
      </c>
      <c r="F163" s="1" t="s">
        <v>333</v>
      </c>
      <c r="G163" s="1" t="s">
        <v>333</v>
      </c>
      <c r="H163" s="1" t="s">
        <v>332</v>
      </c>
      <c r="I163" s="1" t="s">
        <v>332</v>
      </c>
      <c r="J163" s="1" t="s">
        <v>332</v>
      </c>
      <c r="K163" s="25"/>
    </row>
    <row r="164" spans="1:11" ht="45" x14ac:dyDescent="0.2">
      <c r="A164" s="1">
        <f t="shared" si="2"/>
        <v>163</v>
      </c>
      <c r="B164" s="20" t="s">
        <v>195</v>
      </c>
      <c r="C164" s="1" t="s">
        <v>336</v>
      </c>
      <c r="D164" s="1" t="s">
        <v>340</v>
      </c>
      <c r="E164" s="1" t="s">
        <v>37</v>
      </c>
      <c r="F164" s="1" t="s">
        <v>333</v>
      </c>
      <c r="G164" s="1" t="s">
        <v>333</v>
      </c>
      <c r="H164" s="1" t="s">
        <v>332</v>
      </c>
      <c r="I164" s="1" t="s">
        <v>332</v>
      </c>
      <c r="J164" s="1" t="s">
        <v>332</v>
      </c>
      <c r="K164" s="25"/>
    </row>
    <row r="165" spans="1:11" ht="45" x14ac:dyDescent="0.2">
      <c r="A165" s="1">
        <f t="shared" si="2"/>
        <v>164</v>
      </c>
      <c r="B165" s="20" t="s">
        <v>195</v>
      </c>
      <c r="C165" s="1" t="s">
        <v>337</v>
      </c>
      <c r="D165" s="1" t="s">
        <v>341</v>
      </c>
      <c r="E165" s="1" t="s">
        <v>37</v>
      </c>
      <c r="F165" s="1" t="s">
        <v>333</v>
      </c>
      <c r="G165" s="1" t="s">
        <v>333</v>
      </c>
      <c r="H165" s="1" t="s">
        <v>332</v>
      </c>
      <c r="I165" s="1" t="s">
        <v>332</v>
      </c>
      <c r="J165" s="1" t="s">
        <v>332</v>
      </c>
      <c r="K165" s="25"/>
    </row>
    <row r="166" spans="1:11" ht="30" x14ac:dyDescent="0.2">
      <c r="A166" s="1">
        <f t="shared" si="2"/>
        <v>165</v>
      </c>
      <c r="B166" s="20" t="s">
        <v>195</v>
      </c>
      <c r="C166" s="1" t="s">
        <v>338</v>
      </c>
      <c r="D166" s="1" t="s">
        <v>342</v>
      </c>
      <c r="E166" s="1" t="s">
        <v>37</v>
      </c>
      <c r="F166" s="1" t="s">
        <v>333</v>
      </c>
      <c r="G166" s="1" t="s">
        <v>333</v>
      </c>
      <c r="H166" s="1" t="s">
        <v>332</v>
      </c>
      <c r="I166" s="1" t="s">
        <v>332</v>
      </c>
      <c r="J166" s="1" t="s">
        <v>332</v>
      </c>
      <c r="K166" s="25"/>
    </row>
  </sheetData>
  <autoFilter ref="A1:K166" xr:uid="{C9D41E68-180C-4E34-A086-4DC399AE3E7D}"/>
  <conditionalFormatting sqref="C1:C16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C1491-CA04-4894-A07B-ECF6E4A2185B}">
  <dimension ref="B1:F18"/>
  <sheetViews>
    <sheetView workbookViewId="0">
      <selection activeCell="C8" sqref="C8"/>
    </sheetView>
  </sheetViews>
  <sheetFormatPr baseColWidth="10" defaultColWidth="8.83203125" defaultRowHeight="15" x14ac:dyDescent="0.2"/>
  <cols>
    <col min="2" max="2" width="16.83203125" bestFit="1" customWidth="1"/>
    <col min="3" max="3" width="38.33203125" bestFit="1" customWidth="1"/>
    <col min="4" max="4" width="13.83203125" bestFit="1" customWidth="1"/>
    <col min="5" max="5" width="16.1640625" bestFit="1" customWidth="1"/>
    <col min="6" max="6" width="85.33203125" customWidth="1"/>
  </cols>
  <sheetData>
    <row r="1" spans="2:6" x14ac:dyDescent="0.2">
      <c r="B1" s="34" t="s">
        <v>399</v>
      </c>
      <c r="C1" s="34" t="s">
        <v>403</v>
      </c>
      <c r="D1" s="34" t="s">
        <v>404</v>
      </c>
      <c r="E1" s="34" t="s">
        <v>405</v>
      </c>
      <c r="F1" s="34" t="s">
        <v>415</v>
      </c>
    </row>
    <row r="2" spans="2:6" x14ac:dyDescent="0.2">
      <c r="B2" s="33" t="s">
        <v>402</v>
      </c>
      <c r="C2" s="33" t="s">
        <v>413</v>
      </c>
      <c r="D2" s="33" t="s">
        <v>407</v>
      </c>
      <c r="E2" s="33" t="s">
        <v>407</v>
      </c>
      <c r="F2" s="33"/>
    </row>
    <row r="3" spans="2:6" x14ac:dyDescent="0.2">
      <c r="B3" s="33" t="s">
        <v>402</v>
      </c>
      <c r="C3" s="33" t="s">
        <v>413</v>
      </c>
      <c r="D3" s="33" t="s">
        <v>406</v>
      </c>
      <c r="E3" s="33" t="s">
        <v>407</v>
      </c>
      <c r="F3" s="33"/>
    </row>
    <row r="4" spans="2:6" x14ac:dyDescent="0.2">
      <c r="B4" s="33" t="s">
        <v>402</v>
      </c>
      <c r="C4" s="33" t="s">
        <v>413</v>
      </c>
      <c r="D4" s="33" t="s">
        <v>406</v>
      </c>
      <c r="E4" s="33" t="s">
        <v>401</v>
      </c>
      <c r="F4" s="33"/>
    </row>
    <row r="5" spans="2:6" x14ac:dyDescent="0.2">
      <c r="B5" s="33" t="s">
        <v>402</v>
      </c>
      <c r="C5" s="33" t="s">
        <v>414</v>
      </c>
      <c r="D5" s="33" t="s">
        <v>407</v>
      </c>
      <c r="E5" s="33" t="s">
        <v>407</v>
      </c>
      <c r="F5" s="33"/>
    </row>
    <row r="6" spans="2:6" x14ac:dyDescent="0.2">
      <c r="B6" s="33" t="s">
        <v>402</v>
      </c>
      <c r="C6" s="33" t="s">
        <v>414</v>
      </c>
      <c r="D6" s="33" t="s">
        <v>406</v>
      </c>
      <c r="E6" s="33" t="s">
        <v>407</v>
      </c>
      <c r="F6" s="33"/>
    </row>
    <row r="7" spans="2:6" x14ac:dyDescent="0.2">
      <c r="B7" s="33" t="s">
        <v>402</v>
      </c>
      <c r="C7" s="33" t="s">
        <v>414</v>
      </c>
      <c r="D7" s="33" t="s">
        <v>406</v>
      </c>
      <c r="E7" s="33" t="s">
        <v>401</v>
      </c>
      <c r="F7" s="33"/>
    </row>
    <row r="8" spans="2:6" x14ac:dyDescent="0.2">
      <c r="B8" s="33" t="s">
        <v>408</v>
      </c>
      <c r="C8" s="33" t="s">
        <v>409</v>
      </c>
      <c r="D8" s="33" t="s">
        <v>407</v>
      </c>
      <c r="E8" s="33" t="s">
        <v>407</v>
      </c>
      <c r="F8" s="33"/>
    </row>
    <row r="9" spans="2:6" x14ac:dyDescent="0.2">
      <c r="B9" s="33" t="s">
        <v>408</v>
      </c>
      <c r="C9" s="33" t="s">
        <v>410</v>
      </c>
      <c r="D9" s="33" t="s">
        <v>407</v>
      </c>
      <c r="E9" s="33" t="s">
        <v>407</v>
      </c>
      <c r="F9" s="33"/>
    </row>
    <row r="10" spans="2:6" x14ac:dyDescent="0.2">
      <c r="B10" s="33" t="s">
        <v>396</v>
      </c>
      <c r="C10" s="33" t="s">
        <v>411</v>
      </c>
      <c r="D10" s="33" t="s">
        <v>407</v>
      </c>
      <c r="E10" s="33" t="s">
        <v>407</v>
      </c>
      <c r="F10" s="33"/>
    </row>
    <row r="11" spans="2:6" x14ac:dyDescent="0.2">
      <c r="B11" s="33" t="s">
        <v>396</v>
      </c>
      <c r="C11" s="33" t="s">
        <v>412</v>
      </c>
      <c r="D11" s="33" t="s">
        <v>407</v>
      </c>
      <c r="E11" s="33" t="s">
        <v>407</v>
      </c>
      <c r="F11" s="33"/>
    </row>
    <row r="12" spans="2:6" x14ac:dyDescent="0.2">
      <c r="B12" s="33" t="s">
        <v>397</v>
      </c>
      <c r="C12" s="33" t="s">
        <v>407</v>
      </c>
      <c r="D12" s="33" t="s">
        <v>407</v>
      </c>
      <c r="E12" s="33" t="s">
        <v>407</v>
      </c>
      <c r="F12" s="33"/>
    </row>
    <row r="13" spans="2:6" x14ac:dyDescent="0.2">
      <c r="B13" s="33" t="s">
        <v>398</v>
      </c>
      <c r="C13" s="33" t="s">
        <v>413</v>
      </c>
      <c r="D13" s="33" t="s">
        <v>407</v>
      </c>
      <c r="E13" s="33" t="s">
        <v>407</v>
      </c>
      <c r="F13" s="33"/>
    </row>
    <row r="14" spans="2:6" x14ac:dyDescent="0.2">
      <c r="B14" s="33" t="s">
        <v>398</v>
      </c>
      <c r="C14" s="33" t="s">
        <v>414</v>
      </c>
      <c r="D14" s="33" t="s">
        <v>407</v>
      </c>
      <c r="E14" s="33" t="s">
        <v>407</v>
      </c>
      <c r="F14" s="33"/>
    </row>
    <row r="15" spans="2:6" x14ac:dyDescent="0.2">
      <c r="B15" s="33" t="s">
        <v>28</v>
      </c>
      <c r="C15" s="33" t="s">
        <v>407</v>
      </c>
      <c r="D15" s="33" t="s">
        <v>407</v>
      </c>
      <c r="E15" s="33" t="s">
        <v>407</v>
      </c>
      <c r="F15" s="33"/>
    </row>
    <row r="16" spans="2:6" x14ac:dyDescent="0.2">
      <c r="B16" s="33" t="s">
        <v>30</v>
      </c>
      <c r="C16" s="33" t="s">
        <v>407</v>
      </c>
      <c r="D16" s="33" t="s">
        <v>407</v>
      </c>
      <c r="E16" s="33" t="s">
        <v>407</v>
      </c>
      <c r="F16" s="33"/>
    </row>
    <row r="17" spans="2:6" x14ac:dyDescent="0.2">
      <c r="B17" s="33" t="s">
        <v>401</v>
      </c>
      <c r="C17" s="33" t="s">
        <v>413</v>
      </c>
      <c r="D17" s="33" t="s">
        <v>407</v>
      </c>
      <c r="E17" s="33" t="s">
        <v>407</v>
      </c>
      <c r="F17" s="25"/>
    </row>
    <row r="18" spans="2:6" x14ac:dyDescent="0.2">
      <c r="B18" s="33" t="s">
        <v>401</v>
      </c>
      <c r="C18" s="33" t="s">
        <v>414</v>
      </c>
      <c r="D18" s="33" t="s">
        <v>407</v>
      </c>
      <c r="E18" s="33" t="s">
        <v>407</v>
      </c>
      <c r="F18"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7234E-F8BE-40E4-B9A8-366EF7F29008}">
  <dimension ref="A2:H32"/>
  <sheetViews>
    <sheetView zoomScale="115" zoomScaleNormal="115" workbookViewId="0">
      <selection activeCell="C15" sqref="C15"/>
    </sheetView>
  </sheetViews>
  <sheetFormatPr baseColWidth="10" defaultColWidth="8.83203125" defaultRowHeight="15" x14ac:dyDescent="0.2"/>
  <cols>
    <col min="1" max="1" width="6.5" style="10" customWidth="1"/>
    <col min="2" max="2" width="36.33203125" bestFit="1" customWidth="1"/>
    <col min="4" max="4" width="30.6640625" style="10" bestFit="1" customWidth="1"/>
    <col min="5" max="5" width="74.33203125" bestFit="1" customWidth="1"/>
  </cols>
  <sheetData>
    <row r="2" spans="1:8" x14ac:dyDescent="0.2">
      <c r="A2" s="10" t="s">
        <v>300</v>
      </c>
      <c r="B2" t="s">
        <v>301</v>
      </c>
      <c r="E2" s="9" t="s">
        <v>302</v>
      </c>
    </row>
    <row r="3" spans="1:8" x14ac:dyDescent="0.2">
      <c r="A3" s="10">
        <v>1</v>
      </c>
      <c r="B3" t="s">
        <v>303</v>
      </c>
      <c r="C3">
        <v>165</v>
      </c>
      <c r="D3" s="10">
        <v>16</v>
      </c>
      <c r="F3" s="9"/>
      <c r="G3">
        <v>165</v>
      </c>
      <c r="H3">
        <f>G3*G4*G5*G6</f>
        <v>7425</v>
      </c>
    </row>
    <row r="4" spans="1:8" x14ac:dyDescent="0.2">
      <c r="A4" s="10">
        <v>2</v>
      </c>
      <c r="B4" t="s">
        <v>304</v>
      </c>
      <c r="C4">
        <v>5</v>
      </c>
      <c r="D4" s="10">
        <v>5</v>
      </c>
      <c r="E4" s="9" t="s">
        <v>344</v>
      </c>
      <c r="G4">
        <v>5</v>
      </c>
      <c r="H4">
        <f>G3*(SUM(G4:G6))</f>
        <v>1815</v>
      </c>
    </row>
    <row r="5" spans="1:8" x14ac:dyDescent="0.2">
      <c r="A5" s="10">
        <v>3</v>
      </c>
      <c r="B5" t="s">
        <v>305</v>
      </c>
      <c r="C5">
        <v>3</v>
      </c>
      <c r="D5" s="10">
        <v>3</v>
      </c>
      <c r="E5" s="8" t="s">
        <v>306</v>
      </c>
      <c r="G5">
        <v>3</v>
      </c>
    </row>
    <row r="6" spans="1:8" x14ac:dyDescent="0.2">
      <c r="A6" s="10">
        <v>4</v>
      </c>
      <c r="B6" t="s">
        <v>307</v>
      </c>
      <c r="C6">
        <v>3</v>
      </c>
      <c r="D6" s="10">
        <v>3</v>
      </c>
      <c r="E6" t="s">
        <v>308</v>
      </c>
      <c r="G6">
        <v>3</v>
      </c>
    </row>
    <row r="7" spans="1:8" x14ac:dyDescent="0.2">
      <c r="A7" s="14"/>
      <c r="B7" s="15" t="s">
        <v>309</v>
      </c>
      <c r="C7" s="15">
        <f>C3*(C4+C5+C6)</f>
        <v>1815</v>
      </c>
      <c r="D7" s="15">
        <f>D3*(D4+D5+D6)</f>
        <v>176</v>
      </c>
      <c r="E7" t="s">
        <v>310</v>
      </c>
    </row>
    <row r="8" spans="1:8" x14ac:dyDescent="0.2">
      <c r="E8" t="s">
        <v>311</v>
      </c>
    </row>
    <row r="9" spans="1:8" x14ac:dyDescent="0.2">
      <c r="A9" s="10">
        <v>1</v>
      </c>
      <c r="B9" t="s">
        <v>309</v>
      </c>
      <c r="C9">
        <v>1815</v>
      </c>
      <c r="E9" t="s">
        <v>312</v>
      </c>
    </row>
    <row r="10" spans="1:8" x14ac:dyDescent="0.2">
      <c r="A10" s="10">
        <v>2</v>
      </c>
      <c r="B10" t="s">
        <v>313</v>
      </c>
      <c r="C10">
        <v>176</v>
      </c>
    </row>
    <row r="11" spans="1:8" x14ac:dyDescent="0.2">
      <c r="A11" s="14"/>
      <c r="B11" s="15" t="s">
        <v>314</v>
      </c>
      <c r="C11" s="15">
        <f>C9+C10</f>
        <v>1991</v>
      </c>
      <c r="E11" s="9" t="s">
        <v>345</v>
      </c>
    </row>
    <row r="12" spans="1:8" x14ac:dyDescent="0.2">
      <c r="A12" s="11"/>
      <c r="B12" s="12" t="s">
        <v>315</v>
      </c>
      <c r="C12" s="13"/>
      <c r="E12" s="8" t="s">
        <v>316</v>
      </c>
    </row>
    <row r="13" spans="1:8" x14ac:dyDescent="0.2">
      <c r="B13" t="s">
        <v>317</v>
      </c>
      <c r="C13">
        <v>23</v>
      </c>
      <c r="E13" t="s">
        <v>318</v>
      </c>
    </row>
    <row r="14" spans="1:8" x14ac:dyDescent="0.2">
      <c r="B14" t="s">
        <v>319</v>
      </c>
      <c r="C14">
        <v>22</v>
      </c>
      <c r="E14" t="s">
        <v>320</v>
      </c>
    </row>
    <row r="15" spans="1:8" x14ac:dyDescent="0.2">
      <c r="B15" s="7" t="s">
        <v>321</v>
      </c>
      <c r="C15" s="7">
        <v>2</v>
      </c>
      <c r="E15" t="s">
        <v>322</v>
      </c>
    </row>
    <row r="16" spans="1:8" x14ac:dyDescent="0.2">
      <c r="A16" s="14"/>
      <c r="B16" s="15" t="s">
        <v>323</v>
      </c>
      <c r="C16" s="15">
        <f>C13+C14-C15</f>
        <v>43</v>
      </c>
      <c r="E16" t="s">
        <v>312</v>
      </c>
    </row>
    <row r="17" spans="1:3" x14ac:dyDescent="0.2">
      <c r="A17" s="14"/>
      <c r="B17" s="15" t="s">
        <v>324</v>
      </c>
      <c r="C17" s="16">
        <f>C11/C16</f>
        <v>46.302325581395351</v>
      </c>
    </row>
    <row r="18" spans="1:3" x14ac:dyDescent="0.2">
      <c r="B18" t="s">
        <v>325</v>
      </c>
      <c r="C18" s="17">
        <f>C17/7</f>
        <v>6.6146179401993361</v>
      </c>
    </row>
    <row r="20" spans="1:3" x14ac:dyDescent="0.2">
      <c r="B20" t="s">
        <v>326</v>
      </c>
      <c r="C20">
        <v>4</v>
      </c>
    </row>
    <row r="21" spans="1:3" x14ac:dyDescent="0.2">
      <c r="B21" s="9" t="s">
        <v>327</v>
      </c>
      <c r="C21" s="18">
        <f>C18/4</f>
        <v>1.653654485049834</v>
      </c>
    </row>
    <row r="23" spans="1:3" x14ac:dyDescent="0.2">
      <c r="A23" s="11"/>
      <c r="B23" s="12" t="s">
        <v>328</v>
      </c>
      <c r="C23" s="13"/>
    </row>
    <row r="24" spans="1:3" x14ac:dyDescent="0.2">
      <c r="B24" t="s">
        <v>317</v>
      </c>
      <c r="C24">
        <v>18</v>
      </c>
    </row>
    <row r="25" spans="1:3" x14ac:dyDescent="0.2">
      <c r="B25" t="s">
        <v>319</v>
      </c>
      <c r="C25">
        <v>22</v>
      </c>
    </row>
    <row r="26" spans="1:3" x14ac:dyDescent="0.2">
      <c r="B26" s="7" t="s">
        <v>321</v>
      </c>
      <c r="C26" s="7">
        <v>2</v>
      </c>
    </row>
    <row r="27" spans="1:3" x14ac:dyDescent="0.2">
      <c r="A27" s="14"/>
      <c r="B27" s="15" t="s">
        <v>329</v>
      </c>
      <c r="C27" s="15">
        <f>C24+C25</f>
        <v>40</v>
      </c>
    </row>
    <row r="28" spans="1:3" x14ac:dyDescent="0.2">
      <c r="A28" s="14"/>
      <c r="B28" s="15" t="s">
        <v>324</v>
      </c>
      <c r="C28" s="16">
        <f>C11/C27</f>
        <v>49.774999999999999</v>
      </c>
    </row>
    <row r="29" spans="1:3" x14ac:dyDescent="0.2">
      <c r="B29" t="s">
        <v>325</v>
      </c>
      <c r="C29" s="17">
        <f>C28/7</f>
        <v>7.1107142857142858</v>
      </c>
    </row>
    <row r="31" spans="1:3" x14ac:dyDescent="0.2">
      <c r="B31" t="s">
        <v>326</v>
      </c>
      <c r="C31">
        <f>C29/4</f>
        <v>1.7776785714285714</v>
      </c>
    </row>
    <row r="32" spans="1:3" x14ac:dyDescent="0.2">
      <c r="B32" s="9" t="s">
        <v>327</v>
      </c>
      <c r="C32" s="18">
        <f>C29/C31</f>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6E883-2CD6-48E5-B20C-D63FEFFD2D9E}">
  <dimension ref="A1:C20"/>
  <sheetViews>
    <sheetView topLeftCell="A8" zoomScale="190" zoomScaleNormal="190" workbookViewId="0">
      <selection activeCell="C15" sqref="C15"/>
    </sheetView>
  </sheetViews>
  <sheetFormatPr baseColWidth="10" defaultColWidth="8.83203125" defaultRowHeight="15" x14ac:dyDescent="0.2"/>
  <cols>
    <col min="1" max="1" width="31.5" bestFit="1" customWidth="1"/>
    <col min="2" max="2" width="6.5" bestFit="1" customWidth="1"/>
    <col min="3" max="3" width="9.6640625" bestFit="1" customWidth="1"/>
  </cols>
  <sheetData>
    <row r="1" spans="1:3" ht="22" x14ac:dyDescent="0.3">
      <c r="A1" s="23" t="s">
        <v>346</v>
      </c>
    </row>
    <row r="3" spans="1:3" x14ac:dyDescent="0.2">
      <c r="A3" s="27" t="s">
        <v>1</v>
      </c>
      <c r="B3" s="27" t="s">
        <v>347</v>
      </c>
      <c r="C3" s="27" t="s">
        <v>348</v>
      </c>
    </row>
    <row r="4" spans="1:3" x14ac:dyDescent="0.2">
      <c r="A4" s="25" t="s">
        <v>5</v>
      </c>
      <c r="B4" s="25">
        <f>COUNTIF(Raw!B:B,"Lead")</f>
        <v>3</v>
      </c>
      <c r="C4" s="28">
        <f>B4/B9</f>
        <v>1.8181818181818181E-2</v>
      </c>
    </row>
    <row r="5" spans="1:3" x14ac:dyDescent="0.2">
      <c r="A5" s="25" t="s">
        <v>13</v>
      </c>
      <c r="B5" s="25">
        <f>COUNTIF(Raw!B:B,"Sales")</f>
        <v>18</v>
      </c>
      <c r="C5" s="28">
        <f>B5/B9</f>
        <v>0.10909090909090909</v>
      </c>
    </row>
    <row r="6" spans="1:3" x14ac:dyDescent="0.2">
      <c r="A6" s="25" t="s">
        <v>52</v>
      </c>
      <c r="B6" s="25">
        <f>COUNTIF(Raw!B:B,"Support")</f>
        <v>79</v>
      </c>
      <c r="C6" s="28">
        <f>B6/B9</f>
        <v>0.47878787878787876</v>
      </c>
    </row>
    <row r="7" spans="1:3" x14ac:dyDescent="0.2">
      <c r="A7" s="25" t="s">
        <v>195</v>
      </c>
      <c r="B7" s="25">
        <f>COUNTIF(Raw!B:B,"Manage")</f>
        <v>62</v>
      </c>
      <c r="C7" s="28">
        <f>B7/B9</f>
        <v>0.37575757575757573</v>
      </c>
    </row>
    <row r="8" spans="1:3" x14ac:dyDescent="0.2">
      <c r="A8" s="25" t="s">
        <v>293</v>
      </c>
      <c r="B8" s="25">
        <f>COUNTIF(Raw!B:B,"Disconnect")</f>
        <v>3</v>
      </c>
      <c r="C8" s="28">
        <f>B8/B9</f>
        <v>1.8181818181818181E-2</v>
      </c>
    </row>
    <row r="9" spans="1:3" x14ac:dyDescent="0.2">
      <c r="A9" s="26" t="s">
        <v>349</v>
      </c>
      <c r="B9" s="26">
        <f>SUM(B4:B8)</f>
        <v>165</v>
      </c>
      <c r="C9" s="29">
        <f>SUM(C4:C8)</f>
        <v>0.99999999999999989</v>
      </c>
    </row>
    <row r="10" spans="1:3" x14ac:dyDescent="0.2">
      <c r="A10" s="25"/>
      <c r="B10" s="25"/>
      <c r="C10" s="25"/>
    </row>
    <row r="11" spans="1:3" x14ac:dyDescent="0.2">
      <c r="A11" s="27" t="s">
        <v>350</v>
      </c>
      <c r="B11" s="27" t="s">
        <v>347</v>
      </c>
      <c r="C11" s="27" t="s">
        <v>348</v>
      </c>
    </row>
    <row r="12" spans="1:3" x14ac:dyDescent="0.2">
      <c r="A12" s="25" t="s">
        <v>351</v>
      </c>
      <c r="B12" s="25">
        <f>COUNTIF(Raw!F:F,"Yes")</f>
        <v>165</v>
      </c>
      <c r="C12" s="28">
        <f>B12/$B$9</f>
        <v>1</v>
      </c>
    </row>
    <row r="13" spans="1:3" x14ac:dyDescent="0.2">
      <c r="A13" s="25" t="s">
        <v>352</v>
      </c>
      <c r="B13" s="25">
        <f>COUNTIF(Raw!G:G,"Yes")</f>
        <v>16</v>
      </c>
      <c r="C13" s="28">
        <f>B13/$B$9</f>
        <v>9.696969696969697E-2</v>
      </c>
    </row>
    <row r="14" spans="1:3" x14ac:dyDescent="0.2">
      <c r="A14" s="25" t="s">
        <v>353</v>
      </c>
      <c r="B14" s="25">
        <f>COUNTIFS(Raw!F:F,"Yes",Raw!G:G,"Yes")</f>
        <v>16</v>
      </c>
      <c r="C14" s="28">
        <f>B14/$B$9</f>
        <v>9.696969696969697E-2</v>
      </c>
    </row>
    <row r="15" spans="1:3" x14ac:dyDescent="0.2">
      <c r="A15" s="25" t="s">
        <v>354</v>
      </c>
      <c r="B15" s="25">
        <f>COUNTIFS(Raw!F:F,"Yes",Raw!G:G,"No")</f>
        <v>149</v>
      </c>
      <c r="C15" s="28">
        <f>B15/$B$9</f>
        <v>0.90303030303030307</v>
      </c>
    </row>
    <row r="16" spans="1:3" x14ac:dyDescent="0.2">
      <c r="A16" s="25"/>
      <c r="B16" s="25"/>
      <c r="C16" s="25"/>
    </row>
    <row r="17" spans="1:3" x14ac:dyDescent="0.2">
      <c r="A17" s="27" t="s">
        <v>355</v>
      </c>
      <c r="B17" s="27" t="s">
        <v>347</v>
      </c>
      <c r="C17" s="27" t="s">
        <v>348</v>
      </c>
    </row>
    <row r="18" spans="1:3" x14ac:dyDescent="0.2">
      <c r="A18" s="25" t="s">
        <v>19</v>
      </c>
      <c r="B18" s="25">
        <f>COUNTIF(Raw!E:E,"*Guided Journey*")</f>
        <v>17</v>
      </c>
      <c r="C18" s="28">
        <f>B18/$B$9</f>
        <v>0.10303030303030303</v>
      </c>
    </row>
    <row r="19" spans="1:3" x14ac:dyDescent="0.2">
      <c r="A19" s="25" t="s">
        <v>356</v>
      </c>
      <c r="B19" s="25">
        <f>COUNTIF(Raw!E:E,"*Action*Vanilla*")</f>
        <v>115</v>
      </c>
      <c r="C19" s="28">
        <f>B19/$B$9</f>
        <v>0.69696969696969702</v>
      </c>
    </row>
    <row r="20" spans="1:3" x14ac:dyDescent="0.2">
      <c r="A20" s="25" t="s">
        <v>357</v>
      </c>
      <c r="B20" s="25">
        <f>COUNTIF(Raw!E:E,"*View*")</f>
        <v>35</v>
      </c>
      <c r="C20" s="28">
        <f>B20/$B$9</f>
        <v>0.21212121212121213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EC89C-0B7C-4B71-B8BF-3676619DB515}">
  <dimension ref="A1:C31"/>
  <sheetViews>
    <sheetView zoomScale="130" zoomScaleNormal="130" workbookViewId="0">
      <selection activeCell="C15" sqref="C15"/>
    </sheetView>
  </sheetViews>
  <sheetFormatPr baseColWidth="10" defaultColWidth="8.83203125" defaultRowHeight="15" x14ac:dyDescent="0.2"/>
  <cols>
    <col min="1" max="1" width="28.5" customWidth="1"/>
    <col min="2" max="2" width="38.1640625" customWidth="1"/>
    <col min="3" max="3" width="34.33203125" customWidth="1"/>
  </cols>
  <sheetData>
    <row r="1" spans="1:3" ht="19" x14ac:dyDescent="0.25">
      <c r="A1" s="35" t="s">
        <v>358</v>
      </c>
      <c r="B1" s="35"/>
      <c r="C1" s="35"/>
    </row>
    <row r="3" spans="1:3" x14ac:dyDescent="0.2">
      <c r="A3" s="24" t="s">
        <v>359</v>
      </c>
      <c r="B3" s="24" t="s">
        <v>360</v>
      </c>
      <c r="C3" s="24" t="s">
        <v>361</v>
      </c>
    </row>
    <row r="4" spans="1:3" x14ac:dyDescent="0.2">
      <c r="A4" s="30" t="s">
        <v>362</v>
      </c>
      <c r="B4" t="s">
        <v>363</v>
      </c>
      <c r="C4">
        <f>Sheet1!C3</f>
        <v>165</v>
      </c>
    </row>
    <row r="5" spans="1:3" x14ac:dyDescent="0.2">
      <c r="B5" t="s">
        <v>364</v>
      </c>
      <c r="C5">
        <f>Sheet1!C4</f>
        <v>5</v>
      </c>
    </row>
    <row r="6" spans="1:3" x14ac:dyDescent="0.2">
      <c r="B6" t="s">
        <v>365</v>
      </c>
      <c r="C6">
        <f>Sheet1!C5</f>
        <v>3</v>
      </c>
    </row>
    <row r="7" spans="1:3" x14ac:dyDescent="0.2">
      <c r="B7" t="s">
        <v>307</v>
      </c>
      <c r="C7">
        <f>Sheet1!C6</f>
        <v>3</v>
      </c>
    </row>
    <row r="8" spans="1:3" x14ac:dyDescent="0.2">
      <c r="B8" t="s">
        <v>366</v>
      </c>
      <c r="C8">
        <f>Sheet1!C9</f>
        <v>1815</v>
      </c>
    </row>
    <row r="9" spans="1:3" x14ac:dyDescent="0.2">
      <c r="B9" t="s">
        <v>367</v>
      </c>
      <c r="C9">
        <f>Sheet1!C10</f>
        <v>176</v>
      </c>
    </row>
    <row r="10" spans="1:3" x14ac:dyDescent="0.2">
      <c r="B10" t="s">
        <v>368</v>
      </c>
      <c r="C10">
        <f>Sheet1!C11</f>
        <v>1991</v>
      </c>
    </row>
    <row r="12" spans="1:3" x14ac:dyDescent="0.2">
      <c r="A12" s="30" t="s">
        <v>369</v>
      </c>
      <c r="B12" t="s">
        <v>370</v>
      </c>
      <c r="C12">
        <f>Sheet1!C13</f>
        <v>23</v>
      </c>
    </row>
    <row r="13" spans="1:3" x14ac:dyDescent="0.2">
      <c r="B13" t="s">
        <v>371</v>
      </c>
      <c r="C13">
        <f>Sheet1!C14</f>
        <v>22</v>
      </c>
    </row>
    <row r="14" spans="1:3" x14ac:dyDescent="0.2">
      <c r="B14" t="s">
        <v>372</v>
      </c>
      <c r="C14">
        <f>Sheet1!C15</f>
        <v>2</v>
      </c>
    </row>
    <row r="15" spans="1:3" x14ac:dyDescent="0.2">
      <c r="B15" t="s">
        <v>373</v>
      </c>
      <c r="C15">
        <f>Sheet1!C16</f>
        <v>43</v>
      </c>
    </row>
    <row r="16" spans="1:3" x14ac:dyDescent="0.2">
      <c r="B16" t="s">
        <v>374</v>
      </c>
      <c r="C16" s="17">
        <f>Sheet1!C17</f>
        <v>46.302325581395351</v>
      </c>
    </row>
    <row r="17" spans="1:3" x14ac:dyDescent="0.2">
      <c r="B17" t="s">
        <v>375</v>
      </c>
      <c r="C17" s="17">
        <f>Sheet1!C18</f>
        <v>6.6146179401993361</v>
      </c>
    </row>
    <row r="18" spans="1:3" x14ac:dyDescent="0.2">
      <c r="B18" t="s">
        <v>376</v>
      </c>
      <c r="C18">
        <f>Sheet1!C20</f>
        <v>4</v>
      </c>
    </row>
    <row r="19" spans="1:3" x14ac:dyDescent="0.2">
      <c r="B19" t="s">
        <v>377</v>
      </c>
      <c r="C19" s="17">
        <f>Sheet1!C21</f>
        <v>1.653654485049834</v>
      </c>
    </row>
    <row r="21" spans="1:3" x14ac:dyDescent="0.2">
      <c r="A21" s="30" t="s">
        <v>378</v>
      </c>
      <c r="B21" t="s">
        <v>370</v>
      </c>
      <c r="C21">
        <f>Sheet1!C24</f>
        <v>18</v>
      </c>
    </row>
    <row r="22" spans="1:3" x14ac:dyDescent="0.2">
      <c r="B22" t="s">
        <v>371</v>
      </c>
      <c r="C22">
        <f>Sheet1!C25</f>
        <v>22</v>
      </c>
    </row>
    <row r="23" spans="1:3" x14ac:dyDescent="0.2">
      <c r="B23" t="s">
        <v>372</v>
      </c>
      <c r="C23">
        <f>Sheet1!C26</f>
        <v>2</v>
      </c>
    </row>
    <row r="24" spans="1:3" x14ac:dyDescent="0.2">
      <c r="B24" t="s">
        <v>379</v>
      </c>
      <c r="C24">
        <f>Sheet1!C27</f>
        <v>40</v>
      </c>
    </row>
    <row r="25" spans="1:3" x14ac:dyDescent="0.2">
      <c r="B25" t="s">
        <v>374</v>
      </c>
      <c r="C25" s="17">
        <f>Sheet1!C28</f>
        <v>49.774999999999999</v>
      </c>
    </row>
    <row r="26" spans="1:3" x14ac:dyDescent="0.2">
      <c r="B26" t="s">
        <v>375</v>
      </c>
      <c r="C26" s="17">
        <f>Sheet1!C29</f>
        <v>7.1107142857142858</v>
      </c>
    </row>
    <row r="27" spans="1:3" x14ac:dyDescent="0.2">
      <c r="B27" t="s">
        <v>376</v>
      </c>
      <c r="C27">
        <f>Sheet1!C31</f>
        <v>1.7776785714285714</v>
      </c>
    </row>
    <row r="28" spans="1:3" x14ac:dyDescent="0.2">
      <c r="B28" t="s">
        <v>377</v>
      </c>
      <c r="C28" s="17">
        <f>Sheet1!C32</f>
        <v>4</v>
      </c>
    </row>
    <row r="30" spans="1:3" x14ac:dyDescent="0.2">
      <c r="A30" s="30" t="s">
        <v>380</v>
      </c>
      <c r="B30" t="s">
        <v>381</v>
      </c>
      <c r="C30" t="s">
        <v>382</v>
      </c>
    </row>
    <row r="31" spans="1:3" x14ac:dyDescent="0.2">
      <c r="B31" t="s">
        <v>383</v>
      </c>
      <c r="C31" t="s">
        <v>384</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B119E63F0B0CA47A26DBDC326113103" ma:contentTypeVersion="10" ma:contentTypeDescription="Create a new document." ma:contentTypeScope="" ma:versionID="e13e1173ca87e158398fdbdb2d73f75a">
  <xsd:schema xmlns:xsd="http://www.w3.org/2001/XMLSchema" xmlns:xs="http://www.w3.org/2001/XMLSchema" xmlns:p="http://schemas.microsoft.com/office/2006/metadata/properties" xmlns:ns2="54071013-302b-4af0-bc48-58c3d32fe764" xmlns:ns3="54270831-4495-4d01-8c2d-1450b0cbea5f" targetNamespace="http://schemas.microsoft.com/office/2006/metadata/properties" ma:root="true" ma:fieldsID="1050af10a7b86208f7d72a0e99f349ac" ns2:_="" ns3:_="">
    <xsd:import namespace="54071013-302b-4af0-bc48-58c3d32fe764"/>
    <xsd:import namespace="54270831-4495-4d01-8c2d-1450b0cbea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071013-302b-4af0-bc48-58c3d32fe76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26df4c0-9ee9-406c-8b5c-a0fe24c95ff8"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4270831-4495-4d01-8c2d-1450b0cbea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0c5d34e-6c8e-48c3-95fc-51de59ead4e0}" ma:internalName="TaxCatchAll" ma:showField="CatchAllData" ma:web="54270831-4495-4d01-8c2d-1450b0cbea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4270831-4495-4d01-8c2d-1450b0cbea5f" xsi:nil="true"/>
    <lcf76f155ced4ddcb4097134ff3c332f xmlns="54071013-302b-4af0-bc48-58c3d32fe76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BB74E34-FA55-48A1-A7DC-0A93396A1959}">
  <ds:schemaRefs>
    <ds:schemaRef ds:uri="http://schemas.microsoft.com/sharepoint/v3/contenttype/forms"/>
  </ds:schemaRefs>
</ds:datastoreItem>
</file>

<file path=customXml/itemProps2.xml><?xml version="1.0" encoding="utf-8"?>
<ds:datastoreItem xmlns:ds="http://schemas.openxmlformats.org/officeDocument/2006/customXml" ds:itemID="{7A476B78-6D49-4980-8D8E-B2394262AA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071013-302b-4af0-bc48-58c3d32fe764"/>
    <ds:schemaRef ds:uri="54270831-4495-4d01-8c2d-1450b0cbea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5EED65-76C0-4D23-809B-F825AC314221}">
  <ds:schemaRefs>
    <ds:schemaRef ds:uri="http://schemas.microsoft.com/office/2006/metadata/properties"/>
    <ds:schemaRef ds:uri="http://schemas.microsoft.com/office/infopath/2007/PartnerControls"/>
    <ds:schemaRef ds:uri="54270831-4495-4d01-8c2d-1450b0cbea5f"/>
    <ds:schemaRef ds:uri="54071013-302b-4af0-bc48-58c3d32fe764"/>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vt:lpstr>
      <vt:lpstr>Open UI Features</vt:lpstr>
      <vt:lpstr>Summary Combination List</vt:lpstr>
      <vt:lpstr>Sheet1</vt:lpstr>
      <vt:lpstr>Summary</vt:lpstr>
      <vt:lpstr>Summary_Sheet1</vt:lpstr>
    </vt:vector>
  </TitlesOfParts>
  <Manager/>
  <Company>Vodafone Qatar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Yadav, Anuj, Vodafone Qatar</dc:creator>
  <cp:keywords/>
  <dc:description/>
  <cp:lastModifiedBy>Parithimal Saravanan</cp:lastModifiedBy>
  <cp:revision/>
  <dcterms:created xsi:type="dcterms:W3CDTF">2026-02-02T05:37:28Z</dcterms:created>
  <dcterms:modified xsi:type="dcterms:W3CDTF">2026-08-20T16:09:16Z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c005795-ba7c-40ef-b6d7-815de3cb1a85_Enabled">
    <vt:lpwstr>true</vt:lpwstr>
  </property>
  <property fmtid="{D5CDD505-2E9C-101B-9397-08002B2CF9AE}" pid="3" name="MSIP_Label_4c005795-ba7c-40ef-b6d7-815de3cb1a85_SetDate">
    <vt:lpwstr>2026-02-02T05:39:00Z</vt:lpwstr>
  </property>
  <property fmtid="{D5CDD505-2E9C-101B-9397-08002B2CF9AE}" pid="4" name="MSIP_Label_4c005795-ba7c-40ef-b6d7-815de3cb1a85_Method">
    <vt:lpwstr>Standard</vt:lpwstr>
  </property>
  <property fmtid="{D5CDD505-2E9C-101B-9397-08002B2CF9AE}" pid="5" name="MSIP_Label_4c005795-ba7c-40ef-b6d7-815de3cb1a85_Name">
    <vt:lpwstr>defa4170-0d19-0005-0001-bc88714345d2</vt:lpwstr>
  </property>
  <property fmtid="{D5CDD505-2E9C-101B-9397-08002B2CF9AE}" pid="6" name="MSIP_Label_4c005795-ba7c-40ef-b6d7-815de3cb1a85_SiteId">
    <vt:lpwstr>c5d7ec23-378f-4174-8888-88b4c2ec7e12</vt:lpwstr>
  </property>
  <property fmtid="{D5CDD505-2E9C-101B-9397-08002B2CF9AE}" pid="7" name="MSIP_Label_4c005795-ba7c-40ef-b6d7-815de3cb1a85_ActionId">
    <vt:lpwstr>140c1721-54d7-463b-8e31-4bd542000ea9</vt:lpwstr>
  </property>
  <property fmtid="{D5CDD505-2E9C-101B-9397-08002B2CF9AE}" pid="8" name="MSIP_Label_4c005795-ba7c-40ef-b6d7-815de3cb1a85_ContentBits">
    <vt:lpwstr>2</vt:lpwstr>
  </property>
  <property fmtid="{D5CDD505-2E9C-101B-9397-08002B2CF9AE}" pid="9" name="MSIP_Label_4c005795-ba7c-40ef-b6d7-815de3cb1a85_Tag">
    <vt:lpwstr>10, 3, 0, 1</vt:lpwstr>
  </property>
  <property fmtid="{D5CDD505-2E9C-101B-9397-08002B2CF9AE}" pid="10" name="ContentTypeId">
    <vt:lpwstr>0x010100EB119E63F0B0CA47A26DBDC326113103</vt:lpwstr>
  </property>
  <property fmtid="{D5CDD505-2E9C-101B-9397-08002B2CF9AE}" pid="11" name="_dlc_DocIdItemGuid">
    <vt:lpwstr>a57a0fdf-87d9-47f2-aa27-63c0882fb855</vt:lpwstr>
  </property>
  <property fmtid="{D5CDD505-2E9C-101B-9397-08002B2CF9AE}" pid="12" name="MSIP_Label_a8c544ca-bb84-4280-906e-934547e1d30c_SetDate">
    <vt:lpwstr>2026-06-29T13:14:02Z</vt:lpwstr>
  </property>
  <property fmtid="{D5CDD505-2E9C-101B-9397-08002B2CF9AE}" pid="13" name="MediaServiceImageTags">
    <vt:lpwstr/>
  </property>
  <property fmtid="{D5CDD505-2E9C-101B-9397-08002B2CF9AE}" pid="14" name="MSIP_Label_a8c544ca-bb84-4280-906e-934547e1d30c_Name">
    <vt:lpwstr>Internal - General Use</vt:lpwstr>
  </property>
  <property fmtid="{D5CDD505-2E9C-101B-9397-08002B2CF9AE}" pid="15" name="MSIP_Label_a8c544ca-bb84-4280-906e-934547e1d30c_Removed">
    <vt:lpwstr>False</vt:lpwstr>
  </property>
  <property fmtid="{D5CDD505-2E9C-101B-9397-08002B2CF9AE}" pid="16" name="MSIP_Label_a8c544ca-bb84-4280-906e-934547e1d30c_Extended_MSFT_Method">
    <vt:lpwstr>Standard</vt:lpwstr>
  </property>
  <property fmtid="{D5CDD505-2E9C-101B-9397-08002B2CF9AE}" pid="17" name="MSIP_Label_a8c544ca-bb84-4280-906e-934547e1d30c_Enabled">
    <vt:lpwstr>True</vt:lpwstr>
  </property>
  <property fmtid="{D5CDD505-2E9C-101B-9397-08002B2CF9AE}" pid="18" name="MSIP_Label_a8c544ca-bb84-4280-906e-934547e1d30c_ActionId">
    <vt:lpwstr>f5ad1ff0-a5c3-4913-a878-b38f0a968943</vt:lpwstr>
  </property>
  <property fmtid="{D5CDD505-2E9C-101B-9397-08002B2CF9AE}" pid="19" name="Sensitivity">
    <vt:lpwstr>Internal - General Use</vt:lpwstr>
  </property>
  <property fmtid="{D5CDD505-2E9C-101B-9397-08002B2CF9AE}" pid="20" name="MSIP_Label_a8c544ca-bb84-4280-906e-934547e1d30c_SiteId">
    <vt:lpwstr>258ac4e4-146a-411e-9dc8-79a9e12fd6da</vt:lpwstr>
  </property>
</Properties>
</file>